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物件データ" sheetId="1" state="visible" r:id="rId3"/>
    <sheet name="①期別×種別" sheetId="2" state="visible" r:id="rId4"/>
    <sheet name="②種別別KPI" sheetId="3" state="visible" r:id="rId5"/>
    <sheet name="③成約価格分布" sheetId="4" state="visible" r:id="rId6"/>
    <sheet name="設定" sheetId="5" state="visible" r:id="rId7"/>
  </sheets>
  <definedNames>
    <definedName function="false" hidden="true" localSheetId="0" name="_xlnm._FilterDatabase" vbProcedure="false">物件データ!$A$4:$R$180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<sst xmlns="http://schemas.openxmlformats.org/spreadsheetml/2006/main" count="646" uniqueCount="267">
  <si>
    <t xml:space="preserve">物件データ（入力シートから抽出・売却決済日順）</t>
  </si>
  <si>
    <t xml:space="preserve">青字＝入力シートからの転記値、黒字＝数式。売却決済日が空欄の物件は末尾（未売却）</t>
  </si>
  <si>
    <t xml:space="preserve">No</t>
  </si>
  <si>
    <t xml:space="preserve">物件種別</t>
  </si>
  <si>
    <t xml:space="preserve">物件名</t>
  </si>
  <si>
    <t xml:space="preserve">仕入決済日</t>
  </si>
  <si>
    <t xml:space="preserve">売却契約日</t>
  </si>
  <si>
    <t xml:space="preserve">売却決済日</t>
  </si>
  <si>
    <r>
      <rPr>
        <b val="true"/>
        <sz val="10"/>
        <color rgb="FFFFFFFF"/>
        <rFont val="WenQuanYi Zen Hei"/>
        <family val="2"/>
      </rPr>
      <t xml:space="preserve">販売価格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</si>
  <si>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仕入原価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</si>
  <si>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商品化原価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</si>
  <si>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期</t>
  </si>
  <si>
    <t xml:space="preserve">状態</t>
  </si>
  <si>
    <t xml:space="preserve">集計対象</t>
  </si>
  <si>
    <r>
      <rPr>
        <b val="true"/>
        <sz val="10"/>
        <color rgb="FFFFFFFF"/>
        <rFont val="WenQuanYi Zen Hei"/>
        <family val="2"/>
      </rPr>
      <t xml:space="preserve">粗利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</si>
  <si>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粗利率</t>
  </si>
  <si>
    <t xml:space="preserve">保有日数</t>
  </si>
  <si>
    <t xml:space="preserve">価格帯</t>
  </si>
  <si>
    <t xml:space="preserve">入力シート行</t>
  </si>
  <si>
    <t xml:space="preserve">データ注記</t>
  </si>
  <si>
    <r>
      <rPr>
        <sz val="10"/>
        <color rgb="FF0000FF"/>
        <rFont val="Meiryo"/>
        <family val="0"/>
        <charset val="1"/>
      </rPr>
      <t xml:space="preserve">MS</t>
    </r>
    <r>
      <rPr>
        <sz val="10"/>
        <color rgb="FF0000FF"/>
        <rFont val="WenQuanYi Zen Hei"/>
        <family val="2"/>
      </rPr>
      <t xml:space="preserve">リフォーム再販</t>
    </r>
  </si>
  <si>
    <t xml:space="preserve">マンション第一多摩川苑</t>
  </si>
  <si>
    <t xml:space="preserve">仕入原価未入力→粗利対象外</t>
  </si>
  <si>
    <t xml:space="preserve">新築戸建</t>
  </si>
  <si>
    <t xml:space="preserve">東大泉新築Ａ</t>
  </si>
  <si>
    <t xml:space="preserve">コートヒルズ高輪</t>
  </si>
  <si>
    <t xml:space="preserve">戸建リフォーム再販</t>
  </si>
  <si>
    <r>
      <rPr>
        <sz val="10"/>
        <color rgb="FF0000FF"/>
        <rFont val="WenQuanYi Zen Hei"/>
        <family val="2"/>
      </rPr>
      <t xml:space="preserve">柿の木坂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丁目中古戸建</t>
    </r>
  </si>
  <si>
    <t xml:space="preserve">フィールファイン</t>
  </si>
  <si>
    <t xml:space="preserve">東大泉新築Ｂ</t>
  </si>
  <si>
    <t xml:space="preserve">立野新築Ｂ号棟</t>
  </si>
  <si>
    <t xml:space="preserve">墨田区八広中古戸建</t>
  </si>
  <si>
    <t xml:space="preserve">中川新築Ｂ</t>
  </si>
  <si>
    <t xml:space="preserve">粕谷中古戸建</t>
  </si>
  <si>
    <t xml:space="preserve">中川新築Ａ</t>
  </si>
  <si>
    <t xml:space="preserve">中川新築Ｃ</t>
  </si>
  <si>
    <t xml:space="preserve">世田谷区池尻新築戸建</t>
  </si>
  <si>
    <t xml:space="preserve">原宿インペリアルハイツ</t>
  </si>
  <si>
    <r>
      <rPr>
        <sz val="9"/>
        <color rgb="FF666666"/>
        <rFont val="WenQuanYi Zen Hei"/>
        <family val="2"/>
      </rPr>
      <t xml:space="preserve">仕入決済日が空欄→保有日数算出不可 </t>
    </r>
    <r>
      <rPr>
        <sz val="9"/>
        <color rgb="FF666666"/>
        <rFont val="Meiryo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仕入原価未入力→粗利対象外</t>
    </r>
  </si>
  <si>
    <t xml:space="preserve">クレイシア戸越公園</t>
  </si>
  <si>
    <t xml:space="preserve">大田区南久が原新築Ａ</t>
  </si>
  <si>
    <r>
      <rPr>
        <sz val="10"/>
        <color rgb="FF0000FF"/>
        <rFont val="WenQuanYi Zen Hei"/>
        <family val="2"/>
      </rPr>
      <t xml:space="preserve">東雪谷新築戸建</t>
    </r>
    <r>
      <rPr>
        <sz val="10"/>
        <color rgb="FF0000FF"/>
        <rFont val="Meiryo"/>
        <family val="0"/>
        <charset val="1"/>
      </rPr>
      <t xml:space="preserve">A</t>
    </r>
  </si>
  <si>
    <t xml:space="preserve">条件なし土地</t>
  </si>
  <si>
    <r>
      <rPr>
        <sz val="10"/>
        <color rgb="FF0000FF"/>
        <rFont val="WenQuanYi Zen Hei"/>
        <family val="2"/>
      </rPr>
      <t xml:space="preserve">中央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丁目ＡＰ用地</t>
    </r>
  </si>
  <si>
    <t xml:space="preserve">三軒茶屋土地</t>
  </si>
  <si>
    <t xml:space="preserve">奥沢中古戸建</t>
  </si>
  <si>
    <r>
      <rPr>
        <sz val="10"/>
        <color rgb="FF0000FF"/>
        <rFont val="WenQuanYi Zen Hei"/>
        <family val="2"/>
      </rPr>
      <t xml:space="preserve">荏原</t>
    </r>
    <r>
      <rPr>
        <sz val="10"/>
        <color rgb="FF0000FF"/>
        <rFont val="Meiryo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丁目Ｂ</t>
    </r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</si>
  <si>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丁目新築Ａ</t>
    </r>
  </si>
  <si>
    <r>
      <rPr>
        <sz val="10"/>
        <color rgb="FF0000FF"/>
        <rFont val="WenQuanYi Zen Hei"/>
        <family val="2"/>
      </rPr>
      <t xml:space="preserve">荏原</t>
    </r>
    <r>
      <rPr>
        <sz val="10"/>
        <color rgb="FF0000FF"/>
        <rFont val="Meiryo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丁目Ａ</t>
    </r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</si>
  <si>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丁目新築戸建Ｂ</t>
    </r>
  </si>
  <si>
    <t xml:space="preserve">条件付き土地</t>
  </si>
  <si>
    <r>
      <rPr>
        <sz val="10"/>
        <color rgb="FF0000FF"/>
        <rFont val="WenQuanYi Zen Hei"/>
        <family val="2"/>
      </rPr>
      <t xml:space="preserve">若林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丁目条件付土地</t>
    </r>
  </si>
  <si>
    <t xml:space="preserve">苅宿新築戸建</t>
  </si>
  <si>
    <r>
      <rPr>
        <sz val="10"/>
        <color rgb="FF0000FF"/>
        <rFont val="WenQuanYi Zen Hei"/>
        <family val="2"/>
      </rPr>
      <t xml:space="preserve">宮内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丁目新築戸建Ａ</t>
    </r>
  </si>
  <si>
    <r>
      <rPr>
        <sz val="10"/>
        <color rgb="FF0000FF"/>
        <rFont val="WenQuanYi Zen Hei"/>
        <family val="2"/>
      </rPr>
      <t xml:space="preserve">宮内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丁目新築戸建Ｂ</t>
    </r>
  </si>
  <si>
    <r>
      <rPr>
        <sz val="10"/>
        <color rgb="FF0000FF"/>
        <rFont val="WenQuanYi Zen Hei"/>
        <family val="2"/>
      </rPr>
      <t xml:space="preserve">宮内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丁目新築戸建Ｃ</t>
    </r>
  </si>
  <si>
    <r>
      <rPr>
        <sz val="10"/>
        <color rgb="FF0000FF"/>
        <rFont val="WenQuanYi Zen Hei"/>
        <family val="2"/>
      </rPr>
      <t xml:space="preserve">目黒本町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丁目条件付き土地</t>
    </r>
  </si>
  <si>
    <t xml:space="preserve">上馬マンション</t>
  </si>
  <si>
    <r>
      <rPr>
        <sz val="10"/>
        <color rgb="FF0000FF"/>
        <rFont val="Meiryo"/>
        <family val="0"/>
        <charset val="1"/>
      </rPr>
      <t xml:space="preserve">OC</t>
    </r>
    <r>
      <rPr>
        <sz val="10"/>
        <color rgb="FF0000FF"/>
        <rFont val="WenQuanYi Zen Hei"/>
        <family val="2"/>
      </rPr>
      <t xml:space="preserve">転売</t>
    </r>
  </si>
  <si>
    <r>
      <rPr>
        <sz val="10"/>
        <color rgb="FF0000FF"/>
        <rFont val="WenQuanYi Zen Hei"/>
        <family val="2"/>
      </rPr>
      <t xml:space="preserve">サンパルム</t>
    </r>
    <r>
      <rPr>
        <sz val="10"/>
        <color rgb="FF0000FF"/>
        <rFont val="Meiryo"/>
        <family val="0"/>
        <charset val="1"/>
      </rPr>
      <t xml:space="preserve">OC</t>
    </r>
    <r>
      <rPr>
        <sz val="10"/>
        <color rgb="FF0000FF"/>
        <rFont val="WenQuanYi Zen Hei"/>
        <family val="2"/>
      </rPr>
      <t xml:space="preserve">転売</t>
    </r>
  </si>
  <si>
    <r>
      <rPr>
        <sz val="10"/>
        <color rgb="FF0000FF"/>
        <rFont val="WenQuanYi Zen Hei"/>
        <family val="2"/>
      </rPr>
      <t xml:space="preserve">東山</t>
    </r>
    <r>
      <rPr>
        <sz val="10"/>
        <color rgb="FF0000FF"/>
        <rFont val="Meiryo"/>
        <family val="0"/>
        <charset val="1"/>
      </rPr>
      <t xml:space="preserve">MS</t>
    </r>
    <r>
      <rPr>
        <sz val="10"/>
        <color rgb="FF0000FF"/>
        <rFont val="WenQuanYi Zen Hei"/>
        <family val="2"/>
      </rPr>
      <t xml:space="preserve">土地売り</t>
    </r>
  </si>
  <si>
    <r>
      <rPr>
        <sz val="10"/>
        <color rgb="FF0000FF"/>
        <rFont val="WenQuanYi Zen Hei"/>
        <family val="2"/>
      </rPr>
      <t xml:space="preserve">北寺尾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丁目新築戸建Ａ</t>
    </r>
  </si>
  <si>
    <r>
      <rPr>
        <sz val="10"/>
        <color rgb="FF0000FF"/>
        <rFont val="WenQuanYi Zen Hei"/>
        <family val="2"/>
      </rPr>
      <t xml:space="preserve">北寺尾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丁目新築戸建Ｂ</t>
    </r>
  </si>
  <si>
    <t xml:space="preserve">ｼﾘｳｽｺｰﾄ川崎南</t>
  </si>
  <si>
    <t xml:space="preserve">原価が売価を上回る</t>
  </si>
  <si>
    <t xml:space="preserve">ｼｬﾝﾎﾞｰﾙ互恵ビル</t>
  </si>
  <si>
    <t xml:space="preserve">幸区古市場新築Ｂ</t>
  </si>
  <si>
    <t xml:space="preserve">上池台３丁目中古戸建</t>
  </si>
  <si>
    <t xml:space="preserve">生田中古戸建</t>
  </si>
  <si>
    <t xml:space="preserve">一棟収益天端</t>
  </si>
  <si>
    <t xml:space="preserve">五井中央西一棟マンション</t>
  </si>
  <si>
    <t xml:space="preserve">幸区古市場新築Ａ</t>
  </si>
  <si>
    <t xml:space="preserve">幸区古市場新築Ｄ</t>
  </si>
  <si>
    <t xml:space="preserve">幸区古市場新築Ｃ</t>
  </si>
  <si>
    <t xml:space="preserve">ドミール南青山</t>
  </si>
  <si>
    <r>
      <rPr>
        <sz val="10"/>
        <color rgb="FF0000FF"/>
        <rFont val="WenQuanYi Zen Hei"/>
        <family val="2"/>
      </rPr>
      <t xml:space="preserve">荏原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A</t>
    </r>
  </si>
  <si>
    <r>
      <rPr>
        <sz val="10"/>
        <color rgb="FF0000FF"/>
        <rFont val="WenQuanYi Zen Hei"/>
        <family val="2"/>
      </rPr>
      <t xml:space="preserve">荏原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C</t>
    </r>
  </si>
  <si>
    <t xml:space="preserve">中幸一棟収益</t>
  </si>
  <si>
    <r>
      <rPr>
        <sz val="10"/>
        <color rgb="FF0000FF"/>
        <rFont val="WenQuanYi Zen Hei"/>
        <family val="2"/>
      </rPr>
      <t xml:space="preserve">荏原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B</t>
    </r>
  </si>
  <si>
    <t xml:space="preserve">下石原中古戸建</t>
  </si>
  <si>
    <r>
      <rPr>
        <sz val="10"/>
        <color rgb="FF0000FF"/>
        <rFont val="WenQuanYi Zen Hei"/>
        <family val="2"/>
      </rPr>
      <t xml:space="preserve">渡田向町新築戸建</t>
    </r>
    <r>
      <rPr>
        <sz val="10"/>
        <color rgb="FF0000FF"/>
        <rFont val="Meiryo"/>
        <family val="0"/>
        <charset val="1"/>
      </rPr>
      <t xml:space="preserve">D</t>
    </r>
  </si>
  <si>
    <r>
      <rPr>
        <sz val="10"/>
        <color rgb="FF0000FF"/>
        <rFont val="WenQuanYi Zen Hei"/>
        <family val="2"/>
      </rPr>
      <t xml:space="preserve">渡田向町新築戸建</t>
    </r>
    <r>
      <rPr>
        <sz val="10"/>
        <color rgb="FF0000FF"/>
        <rFont val="Meiryo"/>
        <family val="0"/>
        <charset val="1"/>
      </rPr>
      <t xml:space="preserve">C</t>
    </r>
  </si>
  <si>
    <t xml:space="preserve">シャンボール川崎第一</t>
  </si>
  <si>
    <r>
      <rPr>
        <sz val="10"/>
        <color rgb="FF0000FF"/>
        <rFont val="WenQuanYi Zen Hei"/>
        <family val="2"/>
      </rPr>
      <t xml:space="preserve">渡田向町新築戸建</t>
    </r>
    <r>
      <rPr>
        <sz val="10"/>
        <color rgb="FF0000FF"/>
        <rFont val="Meiryo"/>
        <family val="0"/>
        <charset val="1"/>
      </rPr>
      <t xml:space="preserve">B</t>
    </r>
  </si>
  <si>
    <t xml:space="preserve">目黒区平町新築</t>
  </si>
  <si>
    <r>
      <rPr>
        <sz val="10"/>
        <color rgb="FF0000FF"/>
        <rFont val="WenQuanYi Zen Hei"/>
        <family val="2"/>
      </rPr>
      <t xml:space="preserve">渡田向町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条件付き土地</t>
    </r>
  </si>
  <si>
    <t xml:space="preserve">代々木買い戻し</t>
  </si>
  <si>
    <t xml:space="preserve">幸区南幸町新築</t>
  </si>
  <si>
    <t xml:space="preserve">西荻北新築戸建</t>
  </si>
  <si>
    <t xml:space="preserve">汐入町　新築戸建て</t>
  </si>
  <si>
    <t xml:space="preserve">下平間土地</t>
  </si>
  <si>
    <t xml:space="preserve">久我山土地</t>
  </si>
  <si>
    <r>
      <rPr>
        <sz val="10"/>
        <color rgb="FF0000FF"/>
        <rFont val="WenQuanYi Zen Hei"/>
        <family val="2"/>
      </rPr>
      <t xml:space="preserve">東大泉新築</t>
    </r>
    <r>
      <rPr>
        <sz val="10"/>
        <color rgb="FF0000FF"/>
        <rFont val="Meiryo"/>
        <family val="0"/>
        <charset val="1"/>
      </rPr>
      <t xml:space="preserve">A</t>
    </r>
  </si>
  <si>
    <t xml:space="preserve">立ち退き後転売土地</t>
  </si>
  <si>
    <r>
      <rPr>
        <sz val="10"/>
        <color rgb="FF0000FF"/>
        <rFont val="WenQuanYi Zen Hei"/>
        <family val="2"/>
      </rPr>
      <t xml:space="preserve">田園調布１丁目立ち退き土地</t>
    </r>
    <r>
      <rPr>
        <sz val="10"/>
        <color rgb="FF0000FF"/>
        <rFont val="Meiryo"/>
        <family val="0"/>
        <charset val="1"/>
      </rPr>
      <t xml:space="preserve">A</t>
    </r>
  </si>
  <si>
    <t xml:space="preserve">板橋区東山町新築戸建</t>
  </si>
  <si>
    <r>
      <rPr>
        <sz val="10"/>
        <color rgb="FF0000FF"/>
        <rFont val="WenQuanYi Zen Hei"/>
        <family val="2"/>
      </rPr>
      <t xml:space="preserve">東大泉新築</t>
    </r>
    <r>
      <rPr>
        <sz val="10"/>
        <color rgb="FF0000FF"/>
        <rFont val="Meiryo"/>
        <family val="0"/>
        <charset val="1"/>
      </rPr>
      <t xml:space="preserve">B</t>
    </r>
  </si>
  <si>
    <r>
      <rPr>
        <sz val="10"/>
        <color rgb="FF0000FF"/>
        <rFont val="WenQuanYi Zen Hei"/>
        <family val="2"/>
      </rPr>
      <t xml:space="preserve">矢向借地権</t>
    </r>
    <r>
      <rPr>
        <sz val="10"/>
        <color rgb="FF0000FF"/>
        <rFont val="Meiryo"/>
        <family val="0"/>
        <charset val="1"/>
      </rPr>
      <t xml:space="preserve">A</t>
    </r>
  </si>
  <si>
    <t xml:space="preserve">戸越中古戸建て</t>
  </si>
  <si>
    <t xml:space="preserve">板橋区坂下新築</t>
  </si>
  <si>
    <r>
      <rPr>
        <sz val="10"/>
        <color rgb="FF0000FF"/>
        <rFont val="WenQuanYi Zen Hei"/>
        <family val="2"/>
      </rPr>
      <t xml:space="preserve">小山</t>
    </r>
    <r>
      <rPr>
        <sz val="10"/>
        <color rgb="FF0000FF"/>
        <rFont val="Meiryo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丁目新築戸建</t>
    </r>
  </si>
  <si>
    <t xml:space="preserve">ステラレジデンス横濱</t>
  </si>
  <si>
    <r>
      <rPr>
        <sz val="10"/>
        <color rgb="FF0000FF"/>
        <rFont val="WenQuanYi Zen Hei"/>
        <family val="2"/>
      </rPr>
      <t xml:space="preserve">矢向借地権</t>
    </r>
    <r>
      <rPr>
        <sz val="10"/>
        <color rgb="FF0000FF"/>
        <rFont val="Meiryo"/>
        <family val="0"/>
        <charset val="1"/>
      </rPr>
      <t xml:space="preserve">B</t>
    </r>
  </si>
  <si>
    <t xml:space="preserve">東海経堂マンション</t>
  </si>
  <si>
    <r>
      <rPr>
        <sz val="10"/>
        <color rgb="FF0000FF"/>
        <rFont val="WenQuanYi Zen Hei"/>
        <family val="2"/>
      </rPr>
      <t xml:space="preserve">江戸川区松島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丁目中古戸建</t>
    </r>
  </si>
  <si>
    <t xml:space="preserve">亀戸中古戸建て</t>
  </si>
  <si>
    <r>
      <rPr>
        <sz val="10"/>
        <color rgb="FF0000FF"/>
        <rFont val="WenQuanYi Zen Hei"/>
        <family val="2"/>
      </rPr>
      <t xml:space="preserve">南馬込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丁目条件付土地</t>
    </r>
    <r>
      <rPr>
        <sz val="10"/>
        <color rgb="FF0000FF"/>
        <rFont val="Meiryo"/>
        <family val="0"/>
        <charset val="1"/>
      </rPr>
      <t xml:space="preserve">A</t>
    </r>
  </si>
  <si>
    <t xml:space="preserve">鵜の木借地権新築</t>
  </si>
  <si>
    <t xml:space="preserve">クレイシア北千束</t>
  </si>
  <si>
    <r>
      <rPr>
        <sz val="10"/>
        <color rgb="FF0000FF"/>
        <rFont val="WenQuanYi Zen Hei"/>
        <family val="2"/>
      </rPr>
      <t xml:space="preserve">文京区千石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丁目中古戸建</t>
    </r>
    <r>
      <rPr>
        <sz val="10"/>
        <color rgb="FF0000FF"/>
        <rFont val="Meiryo"/>
        <family val="0"/>
        <charset val="1"/>
      </rPr>
      <t xml:space="preserve">OC</t>
    </r>
  </si>
  <si>
    <r>
      <rPr>
        <sz val="10"/>
        <color rgb="FF0000FF"/>
        <rFont val="WenQuanYi Zen Hei"/>
        <family val="2"/>
      </rPr>
      <t xml:space="preserve">赤塚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丁目中古戸建</t>
    </r>
  </si>
  <si>
    <r>
      <rPr>
        <sz val="10"/>
        <color rgb="FF0000FF"/>
        <rFont val="WenQuanYi Zen Hei"/>
        <family val="2"/>
      </rPr>
      <t xml:space="preserve">南長崎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号棟</t>
    </r>
  </si>
  <si>
    <r>
      <rPr>
        <sz val="10"/>
        <color rgb="FF0000FF"/>
        <rFont val="WenQuanYi Zen Hei"/>
        <family val="2"/>
      </rPr>
      <t xml:space="preserve">南長崎</t>
    </r>
    <r>
      <rPr>
        <sz val="10"/>
        <color rgb="FF0000FF"/>
        <rFont val="Meiryo"/>
        <family val="0"/>
        <charset val="1"/>
      </rPr>
      <t xml:space="preserve">B</t>
    </r>
    <r>
      <rPr>
        <sz val="10"/>
        <color rgb="FF0000FF"/>
        <rFont val="WenQuanYi Zen Hei"/>
        <family val="2"/>
      </rPr>
      <t xml:space="preserve">号棟</t>
    </r>
  </si>
  <si>
    <r>
      <rPr>
        <sz val="10"/>
        <color rgb="FF0000FF"/>
        <rFont val="WenQuanYi Zen Hei"/>
        <family val="2"/>
      </rPr>
      <t xml:space="preserve">東浪見解体土地売り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区画</t>
    </r>
    <r>
      <rPr>
        <sz val="10"/>
        <color rgb="FF0000FF"/>
        <rFont val="Meiryo"/>
        <family val="0"/>
        <charset val="1"/>
      </rPr>
      <t xml:space="preserve">A</t>
    </r>
  </si>
  <si>
    <r>
      <rPr>
        <sz val="10"/>
        <color rgb="FF0000FF"/>
        <rFont val="WenQuanYi Zen Hei"/>
        <family val="2"/>
      </rPr>
      <t xml:space="preserve">井田杉山町立ち退き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棟</t>
    </r>
  </si>
  <si>
    <r>
      <rPr>
        <sz val="10"/>
        <color rgb="FF0000FF"/>
        <rFont val="WenQuanYi Zen Hei"/>
        <family val="2"/>
      </rPr>
      <t xml:space="preserve">世田谷区池尻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丁目土地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区画</t>
    </r>
  </si>
  <si>
    <r>
      <rPr>
        <sz val="10"/>
        <color rgb="FF0000FF"/>
        <rFont val="WenQuanYi Zen Hei"/>
        <family val="2"/>
      </rPr>
      <t xml:space="preserve">世田谷区池尻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丁目土地</t>
    </r>
    <r>
      <rPr>
        <sz val="10"/>
        <color rgb="FF0000FF"/>
        <rFont val="Meiryo"/>
        <family val="0"/>
        <charset val="1"/>
      </rPr>
      <t xml:space="preserve">B</t>
    </r>
    <r>
      <rPr>
        <sz val="10"/>
        <color rgb="FF0000FF"/>
        <rFont val="WenQuanYi Zen Hei"/>
        <family val="2"/>
      </rPr>
      <t xml:space="preserve">区画</t>
    </r>
  </si>
  <si>
    <r>
      <rPr>
        <sz val="10"/>
        <color rgb="FF0000FF"/>
        <rFont val="WenQuanYi Zen Hei"/>
        <family val="2"/>
      </rPr>
      <t xml:space="preserve">矢向借地権</t>
    </r>
    <r>
      <rPr>
        <sz val="10"/>
        <color rgb="FF0000FF"/>
        <rFont val="Meiryo"/>
        <family val="0"/>
        <charset val="1"/>
      </rPr>
      <t xml:space="preserve">C</t>
    </r>
  </si>
  <si>
    <r>
      <rPr>
        <sz val="10"/>
        <color rgb="FF0000FF"/>
        <rFont val="WenQuanYi Zen Hei"/>
        <family val="2"/>
      </rPr>
      <t xml:space="preserve">太子堂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丁目収益</t>
    </r>
    <r>
      <rPr>
        <sz val="10"/>
        <color rgb="FF0000FF"/>
        <rFont val="Meiryo"/>
        <family val="0"/>
        <charset val="1"/>
      </rPr>
      <t xml:space="preserve">MS</t>
    </r>
  </si>
  <si>
    <t xml:space="preserve">大田区仲六郷条件付き土地</t>
  </si>
  <si>
    <r>
      <rPr>
        <sz val="10"/>
        <color rgb="FF0000FF"/>
        <rFont val="WenQuanYi Zen Hei"/>
        <family val="2"/>
      </rPr>
      <t xml:space="preserve">井田杉山町立ち退き</t>
    </r>
    <r>
      <rPr>
        <sz val="10"/>
        <color rgb="FF0000FF"/>
        <rFont val="Meiryo"/>
        <family val="0"/>
        <charset val="1"/>
      </rPr>
      <t xml:space="preserve">B</t>
    </r>
    <r>
      <rPr>
        <sz val="10"/>
        <color rgb="FF0000FF"/>
        <rFont val="WenQuanYi Zen Hei"/>
        <family val="2"/>
      </rPr>
      <t xml:space="preserve">棟</t>
    </r>
  </si>
  <si>
    <r>
      <rPr>
        <sz val="10"/>
        <color rgb="FF0000FF"/>
        <rFont val="WenQuanYi Zen Hei"/>
        <family val="2"/>
      </rPr>
      <t xml:space="preserve">品川区荏原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丁目条件付き土地</t>
    </r>
  </si>
  <si>
    <t xml:space="preserve">JT</t>
  </si>
  <si>
    <r>
      <rPr>
        <sz val="10"/>
        <color rgb="FF0000FF"/>
        <rFont val="WenQuanYi Zen Hei"/>
        <family val="2"/>
      </rPr>
      <t xml:space="preserve">上目黒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丁目コンセプト住宅</t>
    </r>
  </si>
  <si>
    <r>
      <rPr>
        <sz val="10"/>
        <color rgb="FF0000FF"/>
        <rFont val="WenQuanYi Zen Hei"/>
        <family val="2"/>
      </rPr>
      <t xml:space="preserve">南馬込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C</t>
    </r>
  </si>
  <si>
    <t xml:space="preserve">品川区大井立ち退き戸建</t>
  </si>
  <si>
    <r>
      <rPr>
        <sz val="10"/>
        <color rgb="FF0000FF"/>
        <rFont val="WenQuanYi Zen Hei"/>
        <family val="2"/>
      </rPr>
      <t xml:space="preserve">井田中ノ町新築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号棟</t>
    </r>
  </si>
  <si>
    <r>
      <rPr>
        <sz val="10"/>
        <color rgb="FF0000FF"/>
        <rFont val="WenQuanYi Zen Hei"/>
        <family val="2"/>
      </rPr>
      <t xml:space="preserve">井田中ノ町新築</t>
    </r>
    <r>
      <rPr>
        <sz val="10"/>
        <color rgb="FF0000FF"/>
        <rFont val="Meiryo"/>
        <family val="0"/>
        <charset val="1"/>
      </rPr>
      <t xml:space="preserve">C</t>
    </r>
    <r>
      <rPr>
        <sz val="10"/>
        <color rgb="FF0000FF"/>
        <rFont val="WenQuanYi Zen Hei"/>
        <family val="2"/>
      </rPr>
      <t xml:space="preserve">号棟</t>
    </r>
  </si>
  <si>
    <r>
      <rPr>
        <sz val="10"/>
        <color rgb="FF0000FF"/>
        <rFont val="WenQuanYi Zen Hei"/>
        <family val="2"/>
      </rPr>
      <t xml:space="preserve">南馬込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B</t>
    </r>
  </si>
  <si>
    <r>
      <rPr>
        <sz val="10"/>
        <color rgb="FF0000FF"/>
        <rFont val="WenQuanYi Zen Hei"/>
        <family val="2"/>
      </rPr>
      <t xml:space="preserve">井田中ノ町新築</t>
    </r>
    <r>
      <rPr>
        <sz val="10"/>
        <color rgb="FF0000FF"/>
        <rFont val="Meiryo"/>
        <family val="0"/>
        <charset val="1"/>
      </rPr>
      <t xml:space="preserve">B</t>
    </r>
    <r>
      <rPr>
        <sz val="10"/>
        <color rgb="FF0000FF"/>
        <rFont val="WenQuanYi Zen Hei"/>
        <family val="2"/>
      </rPr>
      <t xml:space="preserve">号棟</t>
    </r>
  </si>
  <si>
    <r>
      <rPr>
        <sz val="10"/>
        <color rgb="FF0000FF"/>
        <rFont val="WenQuanYi Zen Hei"/>
        <family val="2"/>
      </rPr>
      <t xml:space="preserve">井田中ノ町新築</t>
    </r>
    <r>
      <rPr>
        <sz val="10"/>
        <color rgb="FF0000FF"/>
        <rFont val="Meiryo"/>
        <family val="0"/>
        <charset val="1"/>
      </rPr>
      <t xml:space="preserve">D</t>
    </r>
    <r>
      <rPr>
        <sz val="10"/>
        <color rgb="FF0000FF"/>
        <rFont val="WenQuanYi Zen Hei"/>
        <family val="2"/>
      </rPr>
      <t xml:space="preserve">号棟</t>
    </r>
  </si>
  <si>
    <r>
      <rPr>
        <sz val="10"/>
        <color rgb="FF0000FF"/>
        <rFont val="WenQuanYi Zen Hei"/>
        <family val="2"/>
      </rPr>
      <t xml:space="preserve">東浪見解体土地売り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区画</t>
    </r>
    <r>
      <rPr>
        <sz val="10"/>
        <color rgb="FF0000FF"/>
        <rFont val="Meiryo"/>
        <family val="0"/>
        <charset val="1"/>
      </rPr>
      <t xml:space="preserve">B</t>
    </r>
  </si>
  <si>
    <t xml:space="preserve">ワールドパレス第二戸越</t>
  </si>
  <si>
    <r>
      <rPr>
        <sz val="10"/>
        <color rgb="FF0000FF"/>
        <rFont val="WenQuanYi Zen Hei"/>
        <family val="2"/>
      </rPr>
      <t xml:space="preserve">世田谷区奥沢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丁目中古戸建</t>
    </r>
  </si>
  <si>
    <r>
      <rPr>
        <sz val="10"/>
        <color rgb="FF0000FF"/>
        <rFont val="WenQuanYi Zen Hei"/>
        <family val="2"/>
      </rPr>
      <t xml:space="preserve">田園調布１丁目立ち退き土地</t>
    </r>
    <r>
      <rPr>
        <sz val="10"/>
        <color rgb="FF0000FF"/>
        <rFont val="Meiryo"/>
        <family val="0"/>
        <charset val="1"/>
      </rPr>
      <t xml:space="preserve">B</t>
    </r>
  </si>
  <si>
    <r>
      <rPr>
        <sz val="10"/>
        <color rgb="FF0000FF"/>
        <rFont val="WenQuanYi Zen Hei"/>
        <family val="2"/>
      </rPr>
      <t xml:space="preserve">池上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丁目借地権付き新築戸建</t>
    </r>
  </si>
  <si>
    <t xml:space="preserve">砧　中古戸建</t>
  </si>
  <si>
    <r>
      <rPr>
        <sz val="10"/>
        <color rgb="FF0000FF"/>
        <rFont val="WenQuanYi Zen Hei"/>
        <family val="2"/>
      </rPr>
      <t xml:space="preserve">大田区南久が原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A</t>
    </r>
  </si>
  <si>
    <t xml:space="preserve">シャンボール第二都立大</t>
  </si>
  <si>
    <r>
      <rPr>
        <sz val="10"/>
        <color rgb="FF0000FF"/>
        <rFont val="WenQuanYi Zen Hei"/>
        <family val="2"/>
      </rPr>
      <t xml:space="preserve">昭島市東町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棟収益</t>
    </r>
  </si>
  <si>
    <r>
      <rPr>
        <sz val="10"/>
        <color rgb="FF0000FF"/>
        <rFont val="WenQuanYi Zen Hei"/>
        <family val="2"/>
      </rPr>
      <t xml:space="preserve">大田区南久が原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B</t>
    </r>
  </si>
  <si>
    <r>
      <rPr>
        <sz val="10"/>
        <color rgb="FF0000FF"/>
        <rFont val="WenQuanYi Zen Hei"/>
        <family val="2"/>
      </rPr>
      <t xml:space="preserve">目黒区八雲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丁目土地</t>
    </r>
  </si>
  <si>
    <t xml:space="preserve">荒川区南千住新築戸建</t>
  </si>
  <si>
    <r>
      <rPr>
        <sz val="10"/>
        <color rgb="FF0000FF"/>
        <rFont val="WenQuanYi Zen Hei"/>
        <family val="2"/>
      </rPr>
      <t xml:space="preserve">世田谷区代沢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丁目新築</t>
    </r>
  </si>
  <si>
    <r>
      <rPr>
        <sz val="10"/>
        <color rgb="FF0000FF"/>
        <rFont val="WenQuanYi Zen Hei"/>
        <family val="2"/>
      </rPr>
      <t xml:space="preserve">練馬区桜台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丁目土地</t>
    </r>
  </si>
  <si>
    <t xml:space="preserve">メゾン三鷹</t>
  </si>
  <si>
    <t xml:space="preserve">コーポ高幡</t>
  </si>
  <si>
    <r>
      <rPr>
        <sz val="10"/>
        <color rgb="FF0000FF"/>
        <rFont val="WenQuanYi Zen Hei"/>
        <family val="2"/>
      </rPr>
      <t xml:space="preserve">大田区南久が原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丁目新築</t>
    </r>
    <r>
      <rPr>
        <sz val="10"/>
        <color rgb="FF0000FF"/>
        <rFont val="Meiryo"/>
        <family val="0"/>
        <charset val="1"/>
      </rPr>
      <t xml:space="preserve">C</t>
    </r>
  </si>
  <si>
    <r>
      <rPr>
        <sz val="10"/>
        <color rgb="FF0000FF"/>
        <rFont val="WenQuanYi Zen Hei"/>
        <family val="2"/>
      </rPr>
      <t xml:space="preserve">川崎大師駅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丁目土地</t>
    </r>
    <r>
      <rPr>
        <sz val="10"/>
        <color rgb="FF0000FF"/>
        <rFont val="Meiryo"/>
        <family val="0"/>
        <charset val="1"/>
      </rPr>
      <t xml:space="preserve">A</t>
    </r>
  </si>
  <si>
    <r>
      <rPr>
        <sz val="10"/>
        <color rgb="FF0000FF"/>
        <rFont val="WenQuanYi Zen Hei"/>
        <family val="2"/>
      </rPr>
      <t xml:space="preserve">川崎大師駅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丁目土地</t>
    </r>
    <r>
      <rPr>
        <sz val="10"/>
        <color rgb="FF0000FF"/>
        <rFont val="Meiryo"/>
        <family val="0"/>
        <charset val="1"/>
      </rPr>
      <t xml:space="preserve">A</t>
    </r>
  </si>
  <si>
    <r>
      <rPr>
        <sz val="10"/>
        <color rgb="FF0000FF"/>
        <rFont val="WenQuanYi Zen Hei"/>
        <family val="2"/>
      </rPr>
      <t xml:space="preserve">大田区西馬込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丁目土地</t>
    </r>
  </si>
  <si>
    <r>
      <rPr>
        <sz val="10"/>
        <color rgb="FF0000FF"/>
        <rFont val="WenQuanYi Zen Hei"/>
        <family val="2"/>
      </rPr>
      <t xml:space="preserve">練馬区北町</t>
    </r>
    <r>
      <rPr>
        <sz val="10"/>
        <color rgb="FF0000FF"/>
        <rFont val="Meiryo"/>
        <family val="0"/>
        <charset val="1"/>
      </rPr>
      <t xml:space="preserve">7</t>
    </r>
    <r>
      <rPr>
        <sz val="10"/>
        <color rgb="FF0000FF"/>
        <rFont val="WenQuanYi Zen Hei"/>
        <family val="2"/>
      </rPr>
      <t xml:space="preserve">丁目中古</t>
    </r>
  </si>
  <si>
    <r>
      <rPr>
        <sz val="10"/>
        <color rgb="FF0000FF"/>
        <rFont val="WenQuanYi Zen Hei"/>
        <family val="2"/>
      </rPr>
      <t xml:space="preserve">世田谷区深沢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丁目新築</t>
    </r>
  </si>
  <si>
    <r>
      <rPr>
        <sz val="10"/>
        <color rgb="FF0000FF"/>
        <rFont val="WenQuanYi Zen Hei"/>
        <family val="2"/>
      </rPr>
      <t xml:space="preserve">ライオンズ</t>
    </r>
    <r>
      <rPr>
        <sz val="10"/>
        <color rgb="FF0000FF"/>
        <rFont val="Meiryo"/>
        <family val="0"/>
        <charset val="1"/>
      </rPr>
      <t xml:space="preserve">MS</t>
    </r>
    <r>
      <rPr>
        <sz val="10"/>
        <color rgb="FF0000FF"/>
        <rFont val="WenQuanYi Zen Hei"/>
        <family val="2"/>
      </rPr>
      <t xml:space="preserve">八幡山</t>
    </r>
  </si>
  <si>
    <t xml:space="preserve">馬込マンション</t>
  </si>
  <si>
    <t xml:space="preserve">川崎市中原区上平間土地</t>
  </si>
  <si>
    <r>
      <rPr>
        <sz val="10"/>
        <color rgb="FF0000FF"/>
        <rFont val="WenQuanYi Zen Hei"/>
        <family val="2"/>
      </rPr>
      <t xml:space="preserve">たちのき後転売</t>
    </r>
    <r>
      <rPr>
        <sz val="10"/>
        <color rgb="FF0000FF"/>
        <rFont val="Meiryo"/>
        <family val="0"/>
        <charset val="1"/>
      </rPr>
      <t xml:space="preserve">MS</t>
    </r>
  </si>
  <si>
    <r>
      <rPr>
        <sz val="10"/>
        <color rgb="FF0000FF"/>
        <rFont val="WenQuanYi Zen Hei"/>
        <family val="2"/>
      </rPr>
      <t xml:space="preserve">ハイラーク五反田立ち退き</t>
    </r>
    <r>
      <rPr>
        <sz val="10"/>
        <color rgb="FF0000FF"/>
        <rFont val="Meiryo"/>
        <family val="0"/>
        <charset val="1"/>
      </rPr>
      <t xml:space="preserve">MS</t>
    </r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</si>
  <si>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丁目住宅用地Ｃ</t>
    </r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</si>
  <si>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丁目住宅用地Ｄ</t>
    </r>
  </si>
  <si>
    <t xml:space="preserve">売却決済日ありだが販売価格が空欄</t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</si>
  <si>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丁目ＭＳ用地Ａ</t>
    </r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</si>
  <si>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丁目ＭＳ用地</t>
    </r>
    <r>
      <rPr>
        <sz val="10"/>
        <color rgb="FF0000FF"/>
        <rFont val="Meiryo"/>
        <family val="0"/>
        <charset val="1"/>
      </rPr>
      <t xml:space="preserve">B</t>
    </r>
  </si>
  <si>
    <t xml:space="preserve">豊田シャルム</t>
  </si>
  <si>
    <r>
      <rPr>
        <sz val="10"/>
        <color rgb="FF0000FF"/>
        <rFont val="WenQuanYi Zen Hei"/>
        <family val="2"/>
      </rPr>
      <t xml:space="preserve">世田谷区下馬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丁目土地</t>
    </r>
  </si>
  <si>
    <r>
      <rPr>
        <sz val="10"/>
        <color rgb="FF0000FF"/>
        <rFont val="WenQuanYi Zen Hei"/>
        <family val="2"/>
      </rPr>
      <t xml:space="preserve">古市場新築</t>
    </r>
    <r>
      <rPr>
        <sz val="10"/>
        <color rgb="FF0000FF"/>
        <rFont val="Meiryo"/>
        <family val="0"/>
        <charset val="1"/>
      </rPr>
      <t xml:space="preserve">A</t>
    </r>
  </si>
  <si>
    <r>
      <rPr>
        <sz val="10"/>
        <color rgb="FF0000FF"/>
        <rFont val="WenQuanYi Zen Hei"/>
        <family val="2"/>
      </rPr>
      <t xml:space="preserve">古市場新築</t>
    </r>
    <r>
      <rPr>
        <sz val="10"/>
        <color rgb="FF0000FF"/>
        <rFont val="Meiryo"/>
        <family val="0"/>
        <charset val="1"/>
      </rPr>
      <t xml:space="preserve">C</t>
    </r>
  </si>
  <si>
    <r>
      <rPr>
        <sz val="10"/>
        <color rgb="FF0000FF"/>
        <rFont val="WenQuanYi Zen Hei"/>
        <family val="2"/>
      </rPr>
      <t xml:space="preserve">古市場新築</t>
    </r>
    <r>
      <rPr>
        <sz val="10"/>
        <color rgb="FF0000FF"/>
        <rFont val="Meiryo"/>
        <family val="0"/>
        <charset val="1"/>
      </rPr>
      <t xml:space="preserve">B</t>
    </r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</si>
  <si>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丁目住宅用地Ａ</t>
    </r>
  </si>
  <si>
    <t xml:space="preserve">立野新築Ａ号棟</t>
  </si>
  <si>
    <r>
      <rPr>
        <sz val="10"/>
        <color rgb="FF0000FF"/>
        <rFont val="WenQuanYi Zen Hei"/>
        <family val="2"/>
      </rPr>
      <t xml:space="preserve">平井</t>
    </r>
    <r>
      <rPr>
        <sz val="10"/>
        <color rgb="FF0000FF"/>
        <rFont val="Meiryo"/>
        <family val="0"/>
        <charset val="1"/>
      </rPr>
      <t xml:space="preserve">7</t>
    </r>
    <r>
      <rPr>
        <sz val="10"/>
        <color rgb="FF0000FF"/>
        <rFont val="WenQuanYi Zen Hei"/>
        <family val="2"/>
      </rPr>
      <t xml:space="preserve">丁目条件付土地</t>
    </r>
  </si>
  <si>
    <t xml:space="preserve">大田区南久が原新築Ｂ</t>
  </si>
  <si>
    <t xml:space="preserve">世田谷区池尻土地</t>
  </si>
  <si>
    <r>
      <rPr>
        <sz val="10"/>
        <color rgb="FF0000FF"/>
        <rFont val="WenQuanYi Zen Hei"/>
        <family val="2"/>
      </rPr>
      <t xml:space="preserve">東雪谷新築戸建</t>
    </r>
    <r>
      <rPr>
        <sz val="10"/>
        <color rgb="FF0000FF"/>
        <rFont val="Meiryo"/>
        <family val="0"/>
        <charset val="1"/>
      </rPr>
      <t xml:space="preserve">B</t>
    </r>
  </si>
  <si>
    <t xml:space="preserve">ｼｬﾝﾎﾞｰﾙ第二都立大</t>
  </si>
  <si>
    <t xml:space="preserve">世田谷区大原新築</t>
  </si>
  <si>
    <r>
      <rPr>
        <sz val="10"/>
        <color rgb="FF0000FF"/>
        <rFont val="WenQuanYi Zen Hei"/>
        <family val="2"/>
      </rPr>
      <t xml:space="preserve">大井</t>
    </r>
    <r>
      <rPr>
        <sz val="10"/>
        <color rgb="FF0000FF"/>
        <rFont val="Meiryo"/>
        <family val="0"/>
        <charset val="1"/>
      </rPr>
      <t xml:space="preserve">7</t>
    </r>
    <r>
      <rPr>
        <sz val="10"/>
        <color rgb="FF0000FF"/>
        <rFont val="WenQuanYi Zen Hei"/>
        <family val="2"/>
      </rPr>
      <t xml:space="preserve">丁目中古リフォーム再販</t>
    </r>
  </si>
  <si>
    <r>
      <rPr>
        <sz val="10"/>
        <color rgb="FF0000FF"/>
        <rFont val="WenQuanYi Zen Hei"/>
        <family val="2"/>
      </rPr>
      <t xml:space="preserve">世田谷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丁目土地売りＡ</t>
    </r>
  </si>
  <si>
    <r>
      <rPr>
        <sz val="10"/>
        <color rgb="FF0000FF"/>
        <rFont val="WenQuanYi Zen Hei"/>
        <family val="2"/>
      </rPr>
      <t xml:space="preserve">世田谷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丁目土地売りＢ</t>
    </r>
  </si>
  <si>
    <t xml:space="preserve">代々木解体</t>
  </si>
  <si>
    <t xml:space="preserve">恵比寿中古戸建リフォーム再販</t>
  </si>
  <si>
    <t xml:space="preserve">秀和恵比寿レジデンス</t>
  </si>
  <si>
    <t xml:space="preserve">未分類</t>
  </si>
  <si>
    <t xml:space="preserve">本駒込建物</t>
  </si>
  <si>
    <r>
      <rPr>
        <sz val="9"/>
        <color rgb="FF666666"/>
        <rFont val="WenQuanYi Zen Hei"/>
        <family val="2"/>
      </rPr>
      <t xml:space="preserve">物件種別が空欄 </t>
    </r>
    <r>
      <rPr>
        <sz val="9"/>
        <color rgb="FF666666"/>
        <rFont val="Meiryo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仕入原価未入力→粗利対象外</t>
    </r>
  </si>
  <si>
    <t xml:space="preserve">三軒茶屋連棟中古戸建</t>
  </si>
  <si>
    <t xml:space="preserve">サンサーラ駒込</t>
  </si>
  <si>
    <t xml:space="preserve">三軒茶屋中古借り換え</t>
  </si>
  <si>
    <r>
      <rPr>
        <sz val="10"/>
        <color rgb="FF0000FF"/>
        <rFont val="WenQuanYi Zen Hei"/>
        <family val="2"/>
      </rPr>
      <t xml:space="preserve">世田谷区下馬５丁目</t>
    </r>
    <r>
      <rPr>
        <sz val="10"/>
        <color rgb="FF0000FF"/>
        <rFont val="Meiryo"/>
        <family val="0"/>
        <charset val="1"/>
      </rPr>
      <t xml:space="preserve">JT</t>
    </r>
  </si>
  <si>
    <t xml:space="preserve">大田区大森北３丁目新築</t>
  </si>
  <si>
    <r>
      <rPr>
        <sz val="10"/>
        <color rgb="FF0000FF"/>
        <rFont val="WenQuanYi Zen Hei"/>
        <family val="2"/>
      </rPr>
      <t xml:space="preserve">都筑区高田東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丁目新築</t>
    </r>
  </si>
  <si>
    <r>
      <rPr>
        <sz val="10"/>
        <color rgb="FF0000FF"/>
        <rFont val="WenQuanYi Zen Hei"/>
        <family val="2"/>
      </rPr>
      <t xml:space="preserve">目黒区上目黒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丁目新築②</t>
    </r>
  </si>
  <si>
    <t xml:space="preserve">世田谷区等々力６丁目土地</t>
  </si>
  <si>
    <t xml:space="preserve">ヴェルビュ十条一番館</t>
  </si>
  <si>
    <r>
      <rPr>
        <sz val="10"/>
        <color rgb="FF0000FF"/>
        <rFont val="WenQuanYi Zen Hei"/>
        <family val="2"/>
      </rPr>
      <t xml:space="preserve">品川区小山</t>
    </r>
    <r>
      <rPr>
        <sz val="10"/>
        <color rgb="FF0000FF"/>
        <rFont val="Meiryo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丁目借地新築</t>
    </r>
  </si>
  <si>
    <r>
      <rPr>
        <sz val="10"/>
        <color rgb="FF0000FF"/>
        <rFont val="WenQuanYi Zen Hei"/>
        <family val="2"/>
      </rPr>
      <t xml:space="preserve">目黒区洗足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丁目土地</t>
    </r>
  </si>
  <si>
    <t xml:space="preserve">市谷砂土原町</t>
  </si>
  <si>
    <r>
      <rPr>
        <sz val="10"/>
        <color rgb="FF0000FF"/>
        <rFont val="WenQuanYi Zen Hei"/>
        <family val="2"/>
      </rPr>
      <t xml:space="preserve">上小田中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丁目住宅用地Ｂ</t>
    </r>
  </si>
  <si>
    <t xml:space="preserve">東雪谷中古戸建</t>
  </si>
  <si>
    <t xml:space="preserve">南麻布新築戸建</t>
  </si>
  <si>
    <r>
      <rPr>
        <sz val="10"/>
        <color rgb="FF0000FF"/>
        <rFont val="WenQuanYi Zen Hei"/>
        <family val="2"/>
      </rPr>
      <t xml:space="preserve">品川区荏原</t>
    </r>
    <r>
      <rPr>
        <sz val="10"/>
        <color rgb="FF0000FF"/>
        <rFont val="Meiryo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丁目条件付き土地</t>
    </r>
  </si>
  <si>
    <r>
      <rPr>
        <sz val="10"/>
        <color rgb="FF0000FF"/>
        <rFont val="WenQuanYi Zen Hei"/>
        <family val="2"/>
      </rPr>
      <t xml:space="preserve">川崎市北加瀬２丁目</t>
    </r>
    <r>
      <rPr>
        <sz val="10"/>
        <color rgb="FF0000FF"/>
        <rFont val="Meiryo"/>
        <family val="0"/>
        <charset val="1"/>
      </rPr>
      <t xml:space="preserve">AP</t>
    </r>
    <r>
      <rPr>
        <sz val="10"/>
        <color rgb="FF0000FF"/>
        <rFont val="WenQuanYi Zen Hei"/>
        <family val="2"/>
      </rPr>
      <t xml:space="preserve">土地</t>
    </r>
  </si>
  <si>
    <t xml:space="preserve">東馬込新築戸建</t>
  </si>
  <si>
    <t xml:space="preserve">旗の台４丁目条件付土地</t>
  </si>
  <si>
    <r>
      <rPr>
        <sz val="10"/>
        <color rgb="FF0000FF"/>
        <rFont val="WenQuanYi Zen Hei"/>
        <family val="2"/>
      </rPr>
      <t xml:space="preserve">品川区荏原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丁目中古</t>
    </r>
  </si>
  <si>
    <r>
      <rPr>
        <sz val="10"/>
        <color rgb="FF0000FF"/>
        <rFont val="WenQuanYi Zen Hei"/>
        <family val="2"/>
      </rPr>
      <t xml:space="preserve">大田区中央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丁目土地</t>
    </r>
    <r>
      <rPr>
        <sz val="10"/>
        <color rgb="FF0000FF"/>
        <rFont val="Meiryo"/>
        <family val="0"/>
        <charset val="1"/>
      </rPr>
      <t xml:space="preserve">A</t>
    </r>
  </si>
  <si>
    <r>
      <rPr>
        <sz val="10"/>
        <color rgb="FF0000FF"/>
        <rFont val="WenQuanYi Zen Hei"/>
        <family val="2"/>
      </rPr>
      <t xml:space="preserve">大田区中央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丁目土地</t>
    </r>
    <r>
      <rPr>
        <sz val="10"/>
        <color rgb="FF0000FF"/>
        <rFont val="Meiryo"/>
        <family val="0"/>
        <charset val="1"/>
      </rPr>
      <t xml:space="preserve">B</t>
    </r>
  </si>
  <si>
    <t xml:space="preserve">田園調布本町土地</t>
  </si>
  <si>
    <t xml:space="preserve">サンクタスガーデン砧</t>
  </si>
  <si>
    <t xml:space="preserve">マイキャッスル武蔵中原</t>
  </si>
  <si>
    <t xml:space="preserve">桜丘中古立ち退き</t>
  </si>
  <si>
    <t xml:space="preserve">① 期ごとの物件種別（売却決済ベース 棟数）</t>
  </si>
  <si>
    <r>
      <rPr>
        <b val="true"/>
        <sz val="10"/>
        <color rgb="FFFFFFFF"/>
        <rFont val="Meiryo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期</t>
    </r>
  </si>
  <si>
    <r>
      <rPr>
        <b val="true"/>
        <sz val="10"/>
        <color rgb="FFFFFFFF"/>
        <rFont val="Meiryo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期</t>
    </r>
  </si>
  <si>
    <r>
      <rPr>
        <b val="true"/>
        <sz val="10"/>
        <color rgb="FFFFFFFF"/>
        <rFont val="Meiryo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期</t>
    </r>
  </si>
  <si>
    <r>
      <rPr>
        <b val="true"/>
        <sz val="10"/>
        <color rgb="FFFFFFFF"/>
        <rFont val="Meiryo"/>
        <family val="0"/>
        <charset val="1"/>
      </rPr>
      <t xml:space="preserve">13</t>
    </r>
    <r>
      <rPr>
        <b val="true"/>
        <sz val="10"/>
        <color rgb="FFFFFFFF"/>
        <rFont val="WenQuanYi Zen Hei"/>
        <family val="2"/>
      </rPr>
      <t xml:space="preserve">期</t>
    </r>
  </si>
  <si>
    <r>
      <rPr>
        <b val="true"/>
        <sz val="10"/>
        <color rgb="FFFFFFFF"/>
        <rFont val="Meiryo"/>
        <family val="0"/>
        <charset val="1"/>
      </rPr>
      <t xml:space="preserve">14</t>
    </r>
    <r>
      <rPr>
        <b val="true"/>
        <sz val="10"/>
        <color rgb="FFFFFFFF"/>
        <rFont val="WenQuanYi Zen Hei"/>
        <family val="2"/>
      </rPr>
      <t xml:space="preserve">期</t>
    </r>
  </si>
  <si>
    <r>
      <rPr>
        <b val="true"/>
        <sz val="10"/>
        <color rgb="FFFFFFFF"/>
        <rFont val="Meiryo"/>
        <family val="0"/>
        <charset val="1"/>
      </rPr>
      <t xml:space="preserve">15</t>
    </r>
    <r>
      <rPr>
        <b val="true"/>
        <sz val="10"/>
        <color rgb="FFFFFFFF"/>
        <rFont val="WenQuanYi Zen Hei"/>
        <family val="2"/>
      </rPr>
      <t xml:space="preserve">期</t>
    </r>
  </si>
  <si>
    <t xml:space="preserve">合計</t>
  </si>
  <si>
    <r>
      <rPr>
        <b val="true"/>
        <sz val="10"/>
        <rFont val="Meiryo"/>
        <family val="0"/>
        <charset val="1"/>
      </rPr>
      <t xml:space="preserve">MS</t>
    </r>
    <r>
      <rPr>
        <b val="true"/>
        <sz val="10"/>
        <rFont val="WenQuanYi Zen Hei"/>
        <family val="2"/>
      </rPr>
      <t xml:space="preserve">リフォーム再販</t>
    </r>
  </si>
  <si>
    <r>
      <rPr>
        <b val="true"/>
        <sz val="10"/>
        <rFont val="Meiryo"/>
        <family val="0"/>
        <charset val="1"/>
      </rPr>
      <t xml:space="preserve">OC</t>
    </r>
    <r>
      <rPr>
        <b val="true"/>
        <sz val="10"/>
        <rFont val="WenQuanYi Zen Hei"/>
        <family val="2"/>
      </rPr>
      <t xml:space="preserve">転売</t>
    </r>
  </si>
  <si>
    <r>
      <rPr>
        <b val="true"/>
        <sz val="10"/>
        <rFont val="WenQuanYi Zen Hei"/>
        <family val="2"/>
      </rPr>
      <t xml:space="preserve">たちのき後転売</t>
    </r>
    <r>
      <rPr>
        <b val="true"/>
        <sz val="10"/>
        <rFont val="Meiryo"/>
        <family val="0"/>
        <charset val="1"/>
      </rPr>
      <t xml:space="preserve">MS</t>
    </r>
  </si>
  <si>
    <t xml:space="preserve">種別構成比（棟数）</t>
  </si>
  <si>
    <t xml:space="preserve">② 種別ごと・期ごとの売上高／粗利／保有日数／棟数</t>
  </si>
  <si>
    <t xml:space="preserve">棟数</t>
  </si>
  <si>
    <t xml:space="preserve">売上高（円）</t>
  </si>
  <si>
    <t xml:space="preserve">粗利（円）※原価入力済のみ</t>
  </si>
  <si>
    <t xml:space="preserve">粗利率 ※原価入力済のみ</t>
  </si>
  <si>
    <t xml:space="preserve">平均保有日数（日）</t>
  </si>
  <si>
    <t xml:space="preserve">参考：原価未入力で粗利対象外の棟数</t>
  </si>
  <si>
    <r>
      <rPr>
        <b val="true"/>
        <sz val="14"/>
        <rFont val="WenQuanYi Zen Hei"/>
        <family val="2"/>
      </rPr>
      <t xml:space="preserve">③ 期ごとの平均成約価格と価格分布（</t>
    </r>
    <r>
      <rPr>
        <b val="true"/>
        <sz val="14"/>
        <rFont val="Meiryo"/>
        <family val="0"/>
        <charset val="1"/>
      </rPr>
      <t xml:space="preserve">5,000</t>
    </r>
    <r>
      <rPr>
        <b val="true"/>
        <sz val="14"/>
        <rFont val="WenQuanYi Zen Hei"/>
        <family val="2"/>
      </rPr>
      <t xml:space="preserve">万円きざみ）</t>
    </r>
  </si>
  <si>
    <t xml:space="preserve">指標</t>
  </si>
  <si>
    <t xml:space="preserve">全期</t>
  </si>
  <si>
    <t xml:space="preserve">棟数（価格あり）</t>
  </si>
  <si>
    <t xml:space="preserve">平均成約価格（円）</t>
  </si>
  <si>
    <t xml:space="preserve">最低価格（円）</t>
  </si>
  <si>
    <t xml:space="preserve">最高価格（円）</t>
  </si>
  <si>
    <t xml:space="preserve">売上高合計（円）</t>
  </si>
  <si>
    <t xml:space="preserve">価格帯別 棟数</t>
  </si>
  <si>
    <r>
      <rPr>
        <b val="true"/>
        <sz val="10"/>
        <color rgb="FFFFFFFF"/>
        <rFont val="WenQuanYi Zen Hei"/>
        <family val="2"/>
      </rPr>
      <t xml:space="preserve">下限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</si>
  <si>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上限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</si>
  <si>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価格帯別 構成比</t>
  </si>
  <si>
    <t xml:space="preserve">設定（黄色セルのみ編集）</t>
  </si>
  <si>
    <t xml:space="preserve">基準日</t>
  </si>
  <si>
    <t xml:space="preserve">これ以前の売却決済＝実績、以降＝予定</t>
  </si>
  <si>
    <t xml:space="preserve">全て</t>
  </si>
  <si>
    <t xml:space="preserve">「全て」＝実績＋予定 ／「実績のみ」＝基準日以前の決済分だけ</t>
  </si>
  <si>
    <r>
      <rPr>
        <b val="true"/>
        <sz val="10"/>
        <rFont val="WenQuanYi Zen Hei"/>
        <family val="2"/>
      </rPr>
      <t xml:space="preserve">価格帯の刻み</t>
    </r>
    <r>
      <rPr>
        <b val="true"/>
        <sz val="10"/>
        <rFont val="Meiryo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円</t>
    </r>
    <r>
      <rPr>
        <b val="true"/>
        <sz val="10"/>
        <rFont val="Meiryo"/>
        <family val="0"/>
        <charset val="1"/>
      </rPr>
      <t xml:space="preserve">)</t>
    </r>
  </si>
  <si>
    <t xml:space="preserve">開始日</t>
  </si>
  <si>
    <t xml:space="preserve">終了日</t>
  </si>
  <si>
    <t xml:space="preserve">備考</t>
  </si>
  <si>
    <r>
      <rPr>
        <sz val="10"/>
        <color rgb="FF0000FF"/>
        <rFont val="Meiryo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期</t>
    </r>
  </si>
  <si>
    <r>
      <rPr>
        <sz val="10"/>
        <color rgb="FF0000FF"/>
        <rFont val="Meiryo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期</t>
    </r>
  </si>
  <si>
    <r>
      <rPr>
        <sz val="10"/>
        <color rgb="FF0000FF"/>
        <rFont val="Meiryo"/>
        <family val="0"/>
        <charset val="1"/>
      </rPr>
      <t xml:space="preserve">11</t>
    </r>
    <r>
      <rPr>
        <sz val="10"/>
        <color rgb="FF0000FF"/>
        <rFont val="WenQuanYi Zen Hei"/>
        <family val="2"/>
      </rPr>
      <t xml:space="preserve">期</t>
    </r>
  </si>
  <si>
    <r>
      <rPr>
        <sz val="10"/>
        <color rgb="FF0000FF"/>
        <rFont val="Meiryo"/>
        <family val="0"/>
        <charset val="1"/>
      </rPr>
      <t xml:space="preserve">12</t>
    </r>
    <r>
      <rPr>
        <sz val="10"/>
        <color rgb="FF0000FF"/>
        <rFont val="WenQuanYi Zen Hei"/>
        <family val="2"/>
      </rPr>
      <t xml:space="preserve">期</t>
    </r>
  </si>
  <si>
    <r>
      <rPr>
        <sz val="10"/>
        <rFont val="WenQuanYi Zen Hei"/>
        <family val="2"/>
      </rPr>
      <t xml:space="preserve">決算期変更の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ヶ月変則</t>
    </r>
  </si>
  <si>
    <r>
      <rPr>
        <sz val="10"/>
        <color rgb="FF0000FF"/>
        <rFont val="Meiryo"/>
        <family val="0"/>
        <charset val="1"/>
      </rPr>
      <t xml:space="preserve">13</t>
    </r>
    <r>
      <rPr>
        <sz val="10"/>
        <color rgb="FF0000FF"/>
        <rFont val="WenQuanYi Zen Hei"/>
        <family val="2"/>
      </rPr>
      <t xml:space="preserve">期</t>
    </r>
  </si>
  <si>
    <r>
      <rPr>
        <sz val="10"/>
        <color rgb="FF0000FF"/>
        <rFont val="Meiryo"/>
        <family val="0"/>
        <charset val="1"/>
      </rPr>
      <t xml:space="preserve">14</t>
    </r>
    <r>
      <rPr>
        <sz val="10"/>
        <color rgb="FF0000FF"/>
        <rFont val="WenQuanYi Zen Hei"/>
        <family val="2"/>
      </rPr>
      <t xml:space="preserve">期</t>
    </r>
  </si>
  <si>
    <r>
      <rPr>
        <sz val="10"/>
        <color rgb="FF0000FF"/>
        <rFont val="Meiryo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期</t>
    </r>
  </si>
  <si>
    <r>
      <rPr>
        <sz val="10"/>
        <color rgb="FF0000FF"/>
        <rFont val="Meiryo"/>
        <family val="0"/>
        <charset val="1"/>
      </rPr>
      <t xml:space="preserve">16</t>
    </r>
    <r>
      <rPr>
        <sz val="10"/>
        <color rgb="FF0000FF"/>
        <rFont val="WenQuanYi Zen Hei"/>
        <family val="2"/>
      </rPr>
      <t xml:space="preserve">期</t>
    </r>
  </si>
  <si>
    <t xml:space="preserve">【前提】</t>
  </si>
  <si>
    <r>
      <rPr>
        <sz val="9"/>
        <color rgb="FF666666"/>
        <rFont val="WenQuanYi Zen Hei"/>
        <family val="2"/>
      </rPr>
      <t xml:space="preserve">・期は売却決済日（売上計上日）で判定。ビルド期数＝グループ期数−</t>
    </r>
    <r>
      <rPr>
        <sz val="9"/>
        <color rgb="FF666666"/>
        <rFont val="Meiryo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（ビルド</t>
    </r>
    <r>
      <rPr>
        <sz val="9"/>
        <color rgb="FF666666"/>
        <rFont val="Meiryo"/>
        <family val="0"/>
        <charset val="1"/>
      </rPr>
      <t xml:space="preserve">15</t>
    </r>
    <r>
      <rPr>
        <sz val="9"/>
        <color rgb="FF666666"/>
        <rFont val="WenQuanYi Zen Hei"/>
        <family val="2"/>
      </rPr>
      <t xml:space="preserve">期＝</t>
    </r>
    <r>
      <rPr>
        <sz val="9"/>
        <color rgb="FF666666"/>
        <rFont val="Meiryo"/>
        <family val="0"/>
        <charset val="1"/>
      </rPr>
      <t xml:space="preserve">2026.10–2027.9</t>
    </r>
    <r>
      <rPr>
        <sz val="9"/>
        <color rgb="FF666666"/>
        <rFont val="WenQuanYi Zen Hei"/>
        <family val="2"/>
      </rPr>
      <t xml:space="preserve">）</t>
    </r>
  </si>
  <si>
    <r>
      <rPr>
        <sz val="9"/>
        <color rgb="FF666666"/>
        <rFont val="WenQuanYi Zen Hei"/>
        <family val="2"/>
      </rPr>
      <t xml:space="preserve">・売上高＝販売価格（入力シート</t>
    </r>
    <r>
      <rPr>
        <sz val="9"/>
        <color rgb="FF666666"/>
        <rFont val="Meiryo"/>
        <family val="0"/>
        <charset val="1"/>
      </rPr>
      <t xml:space="preserve">H</t>
    </r>
    <r>
      <rPr>
        <sz val="9"/>
        <color rgb="FF666666"/>
        <rFont val="WenQuanYi Zen Hei"/>
        <family val="2"/>
      </rPr>
      <t xml:space="preserve">列）。粗利＝販売価格−仕入原価−商品化原価（販売諸費用・支払利息は含めない＝会計上の粗利）</t>
    </r>
  </si>
  <si>
    <r>
      <rPr>
        <sz val="9"/>
        <color rgb="FF666666"/>
        <rFont val="WenQuanYi Zen Hei"/>
        <family val="2"/>
      </rPr>
      <t xml:space="preserve">・仕入原価＝入力シート</t>
    </r>
    <r>
      <rPr>
        <sz val="9"/>
        <color rgb="FF666666"/>
        <rFont val="Meiryo"/>
        <family val="0"/>
        <charset val="1"/>
      </rPr>
      <t xml:space="preserve">I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Meiryo"/>
        <family val="0"/>
        <charset val="1"/>
      </rPr>
      <t xml:space="preserve">M</t>
    </r>
    <r>
      <rPr>
        <sz val="9"/>
        <color rgb="FF666666"/>
        <rFont val="WenQuanYi Zen Hei"/>
        <family val="2"/>
      </rPr>
      <t xml:space="preserve">列、商品化原価＝</t>
    </r>
    <r>
      <rPr>
        <sz val="9"/>
        <color rgb="FF666666"/>
        <rFont val="Meiryo"/>
        <family val="0"/>
        <charset val="1"/>
      </rPr>
      <t xml:space="preserve">P,R,T,…,AJ</t>
    </r>
    <r>
      <rPr>
        <sz val="9"/>
        <color rgb="FF666666"/>
        <rFont val="WenQuanYi Zen Hei"/>
        <family val="2"/>
      </rPr>
      <t xml:space="preserve">列（リフォーム・解体・立退・建物・その他①〜⑤）</t>
    </r>
  </si>
  <si>
    <t xml:space="preserve">・仕入原価が未入力の物件は粗利・粗利率の集計から除外（売上高・棟数には含む）</t>
  </si>
  <si>
    <t xml:space="preserve">・保有日数＝売却決済日−仕入決済日</t>
  </si>
  <si>
    <r>
      <rPr>
        <sz val="9"/>
        <color rgb="FF666666"/>
        <rFont val="WenQuanYi Zen Hei"/>
        <family val="2"/>
      </rPr>
      <t xml:space="preserve">・出所：</t>
    </r>
    <r>
      <rPr>
        <sz val="9"/>
        <color rgb="FF666666"/>
        <rFont val="Meiryo"/>
        <family val="0"/>
        <charset val="1"/>
      </rPr>
      <t xml:space="preserve">8a692c1c-BU__CF_-_______________9_4___________VER.xlsx</t>
    </r>
    <r>
      <rPr>
        <sz val="9"/>
        <color rgb="FF666666"/>
        <rFont val="WenQuanYi Zen Hei"/>
        <family val="2"/>
      </rPr>
      <t xml:space="preserve">「入力シート」 作成日 </t>
    </r>
    <r>
      <rPr>
        <sz val="9"/>
        <color rgb="FF666666"/>
        <rFont val="Meiryo"/>
        <family val="0"/>
        <charset val="1"/>
      </rPr>
      <t xml:space="preserve">2026/09/29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</si>
</sst>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#,##0;\▲#,##0;\-"/>
    <numFmt numFmtId="167" formatCode="0.0%;\▲0.0%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9"/>
      <color rgb="FF666666"/>
      <name val="WenQuanYi Zen Hei"/>
      <family val="2"/>
    </font>
    <font>
      <b val="true"/>
      <sz val="10"/>
      <color rgb="FFFFFFFF"/>
      <name val="Meiryo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Meiryo"/>
      <family val="0"/>
      <charset val="1"/>
    </font>
    <font>
      <sz val="10"/>
      <color rgb="FF0000FF"/>
      <name val="WenQuanYi Zen Hei"/>
      <family val="2"/>
    </font>
    <font>
      <sz val="10"/>
      <name val="Meiryo"/>
      <family val="0"/>
      <charset val="1"/>
    </font>
    <font>
      <sz val="9"/>
      <color rgb="FF666666"/>
      <name val="Meiryo"/>
      <family val="0"/>
      <charset val="1"/>
    </font>
    <font>
      <b val="true"/>
      <sz val="10"/>
      <name val="WenQuanYi Zen Hei"/>
      <family val="2"/>
    </font>
    <font>
      <b val="true"/>
      <sz val="10"/>
      <name val="Meiryo"/>
      <family val="0"/>
      <charset val="1"/>
    </font>
    <font>
      <b val="true"/>
      <sz val="14"/>
      <name val="Meiryo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期別 成約価格分布（棟数）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③成約価格分布!B13</c:f>
              <c:strCache>
                <c:ptCount val="1"/>
                <c:pt idx="0">
                  <c:v>10期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③成約価格分布!$A$14:$A$22</c:f>
              <c:strCache>
                <c:ptCount val="9"/>
                <c:pt idx="0">
                  <c:v>〜5,000万未満</c:v>
                </c:pt>
                <c:pt idx="1">
                  <c:v>5,000万〜1.0億未満</c:v>
                </c:pt>
                <c:pt idx="2">
                  <c:v>1.0億〜1.5億未満</c:v>
                </c:pt>
                <c:pt idx="3">
                  <c:v>1.5億〜2.0億未満</c:v>
                </c:pt>
                <c:pt idx="4">
                  <c:v>2.0億〜2.5億未満</c:v>
                </c:pt>
                <c:pt idx="5">
                  <c:v>2.5億〜3.0億未満</c:v>
                </c:pt>
                <c:pt idx="6">
                  <c:v>3.0億〜3.5億未満</c:v>
                </c:pt>
                <c:pt idx="7">
                  <c:v>3.5億〜4.0億未満</c:v>
                </c:pt>
                <c:pt idx="8">
                  <c:v>4.0億〜4.5億未満</c:v>
                </c:pt>
              </c:strCache>
            </c:strRef>
          </c:cat>
          <c:val>
            <c:numRef>
              <c:f>③成約価格分布!$B$14:$B$22</c:f>
              <c:numCache>
                <c:formatCode>#,##0;\▲#,##0;\-</c:formatCode>
                <c:ptCount val="9"/>
                <c:pt idx="0">
                  <c:v>13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③成約価格分布!C13</c:f>
              <c:strCache>
                <c:ptCount val="1"/>
                <c:pt idx="0">
                  <c:v>11期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③成約価格分布!$A$14:$A$22</c:f>
              <c:strCache>
                <c:ptCount val="9"/>
                <c:pt idx="0">
                  <c:v>〜5,000万未満</c:v>
                </c:pt>
                <c:pt idx="1">
                  <c:v>5,000万〜1.0億未満</c:v>
                </c:pt>
                <c:pt idx="2">
                  <c:v>1.0億〜1.5億未満</c:v>
                </c:pt>
                <c:pt idx="3">
                  <c:v>1.5億〜2.0億未満</c:v>
                </c:pt>
                <c:pt idx="4">
                  <c:v>2.0億〜2.5億未満</c:v>
                </c:pt>
                <c:pt idx="5">
                  <c:v>2.5億〜3.0億未満</c:v>
                </c:pt>
                <c:pt idx="6">
                  <c:v>3.0億〜3.5億未満</c:v>
                </c:pt>
                <c:pt idx="7">
                  <c:v>3.5億〜4.0億未満</c:v>
                </c:pt>
                <c:pt idx="8">
                  <c:v>4.0億〜4.5億未満</c:v>
                </c:pt>
              </c:strCache>
            </c:strRef>
          </c:cat>
          <c:val>
            <c:numRef>
              <c:f>③成約価格分布!$C$14:$C$22</c:f>
              <c:numCache>
                <c:formatCode>#,##0;\▲#,##0;\-</c:formatCode>
                <c:ptCount val="9"/>
                <c:pt idx="0">
                  <c:v>15</c:v>
                </c:pt>
                <c:pt idx="1">
                  <c:v>13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</c:ser>
        <c:ser>
          <c:idx val="2"/>
          <c:order val="2"/>
          <c:tx>
            <c:strRef>
              <c:f>③成約価格分布!D13</c:f>
              <c:strCache>
                <c:ptCount val="1"/>
                <c:pt idx="0">
                  <c:v>12期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③成約価格分布!$A$14:$A$22</c:f>
              <c:strCache>
                <c:ptCount val="9"/>
                <c:pt idx="0">
                  <c:v>〜5,000万未満</c:v>
                </c:pt>
                <c:pt idx="1">
                  <c:v>5,000万〜1.0億未満</c:v>
                </c:pt>
                <c:pt idx="2">
                  <c:v>1.0億〜1.5億未満</c:v>
                </c:pt>
                <c:pt idx="3">
                  <c:v>1.5億〜2.0億未満</c:v>
                </c:pt>
                <c:pt idx="4">
                  <c:v>2.0億〜2.5億未満</c:v>
                </c:pt>
                <c:pt idx="5">
                  <c:v>2.5億〜3.0億未満</c:v>
                </c:pt>
                <c:pt idx="6">
                  <c:v>3.0億〜3.5億未満</c:v>
                </c:pt>
                <c:pt idx="7">
                  <c:v>3.5億〜4.0億未満</c:v>
                </c:pt>
                <c:pt idx="8">
                  <c:v>4.0億〜4.5億未満</c:v>
                </c:pt>
              </c:strCache>
            </c:strRef>
          </c:cat>
          <c:val>
            <c:numRef>
              <c:f>③成約価格分布!$D$14:$D$22</c:f>
              <c:numCache>
                <c:formatCode>#,##0;\▲#,##0;\-</c:formatCode>
                <c:ptCount val="9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③成約価格分布!E13</c:f>
              <c:strCache>
                <c:ptCount val="1"/>
                <c:pt idx="0">
                  <c:v>13期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③成約価格分布!$A$14:$A$22</c:f>
              <c:strCache>
                <c:ptCount val="9"/>
                <c:pt idx="0">
                  <c:v>〜5,000万未満</c:v>
                </c:pt>
                <c:pt idx="1">
                  <c:v>5,000万〜1.0億未満</c:v>
                </c:pt>
                <c:pt idx="2">
                  <c:v>1.0億〜1.5億未満</c:v>
                </c:pt>
                <c:pt idx="3">
                  <c:v>1.5億〜2.0億未満</c:v>
                </c:pt>
                <c:pt idx="4">
                  <c:v>2.0億〜2.5億未満</c:v>
                </c:pt>
                <c:pt idx="5">
                  <c:v>2.5億〜3.0億未満</c:v>
                </c:pt>
                <c:pt idx="6">
                  <c:v>3.0億〜3.5億未満</c:v>
                </c:pt>
                <c:pt idx="7">
                  <c:v>3.5億〜4.0億未満</c:v>
                </c:pt>
                <c:pt idx="8">
                  <c:v>4.0億〜4.5億未満</c:v>
                </c:pt>
              </c:strCache>
            </c:strRef>
          </c:cat>
          <c:val>
            <c:numRef>
              <c:f>③成約価格分布!$E$14:$E$22</c:f>
              <c:numCache>
                <c:formatCode>#,##0;\▲#,##0;\-</c:formatCode>
                <c:ptCount val="9"/>
                <c:pt idx="0">
                  <c:v>19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tx>
            <c:strRef>
              <c:f>③成約価格分布!F13</c:f>
              <c:strCache>
                <c:ptCount val="1"/>
                <c:pt idx="0">
                  <c:v>14期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③成約価格分布!$A$14:$A$22</c:f>
              <c:strCache>
                <c:ptCount val="9"/>
                <c:pt idx="0">
                  <c:v>〜5,000万未満</c:v>
                </c:pt>
                <c:pt idx="1">
                  <c:v>5,000万〜1.0億未満</c:v>
                </c:pt>
                <c:pt idx="2">
                  <c:v>1.0億〜1.5億未満</c:v>
                </c:pt>
                <c:pt idx="3">
                  <c:v>1.5億〜2.0億未満</c:v>
                </c:pt>
                <c:pt idx="4">
                  <c:v>2.0億〜2.5億未満</c:v>
                </c:pt>
                <c:pt idx="5">
                  <c:v>2.5億〜3.0億未満</c:v>
                </c:pt>
                <c:pt idx="6">
                  <c:v>3.0億〜3.5億未満</c:v>
                </c:pt>
                <c:pt idx="7">
                  <c:v>3.5億〜4.0億未満</c:v>
                </c:pt>
                <c:pt idx="8">
                  <c:v>4.0億〜4.5億未満</c:v>
                </c:pt>
              </c:strCache>
            </c:strRef>
          </c:cat>
          <c:val>
            <c:numRef>
              <c:f>③成約価格分布!$F$14:$F$22</c:f>
              <c:numCache>
                <c:formatCode>#,##0;\▲#,##0;\-</c:formatCode>
                <c:ptCount val="9"/>
                <c:pt idx="0">
                  <c:v>6</c:v>
                </c:pt>
                <c:pt idx="1">
                  <c:v>11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5"/>
          <c:order val="5"/>
          <c:tx>
            <c:strRef>
              <c:f>③成約価格分布!G13</c:f>
              <c:strCache>
                <c:ptCount val="1"/>
                <c:pt idx="0">
                  <c:v>15期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③成約価格分布!$A$14:$A$22</c:f>
              <c:strCache>
                <c:ptCount val="9"/>
                <c:pt idx="0">
                  <c:v>〜5,000万未満</c:v>
                </c:pt>
                <c:pt idx="1">
                  <c:v>5,000万〜1.0億未満</c:v>
                </c:pt>
                <c:pt idx="2">
                  <c:v>1.0億〜1.5億未満</c:v>
                </c:pt>
                <c:pt idx="3">
                  <c:v>1.5億〜2.0億未満</c:v>
                </c:pt>
                <c:pt idx="4">
                  <c:v>2.0億〜2.5億未満</c:v>
                </c:pt>
                <c:pt idx="5">
                  <c:v>2.5億〜3.0億未満</c:v>
                </c:pt>
                <c:pt idx="6">
                  <c:v>3.0億〜3.5億未満</c:v>
                </c:pt>
                <c:pt idx="7">
                  <c:v>3.5億〜4.0億未満</c:v>
                </c:pt>
                <c:pt idx="8">
                  <c:v>4.0億〜4.5億未満</c:v>
                </c:pt>
              </c:strCache>
            </c:strRef>
          </c:cat>
          <c:val>
            <c:numRef>
              <c:f>③成約価格分布!$G$14:$G$22</c:f>
              <c:numCache>
                <c:formatCode>#,##0;\▲#,##0;\-</c:formatCode>
                <c:ptCount val="9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40150354"/>
        <c:axId val="5206851"/>
      </c:barChart>
      <c:catAx>
        <c:axId val="401503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6851"/>
        <c:crosses val="autoZero"/>
        <c:auto val="1"/>
        <c:lblAlgn val="ctr"/>
        <c:lblOffset val="100"/>
        <c:noMultiLvlLbl val="0"/>
      </c:catAx>
      <c:valAx>
        <c:axId val="5206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棟数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▲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50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134640</xdr:rowOff>
    </xdr:from>
    <xdr:to>
      <xdr:col>5</xdr:col>
      <xdr:colOff>630000</xdr:colOff>
      <xdr:row>53</xdr:row>
      <xdr:rowOff>135720</xdr:rowOff>
    </xdr:to>
    <xdr:graphicFrame>
      <xdr:nvGraphicFramePr>
        <xdr:cNvPr id="0" name="Chart 1"/>
        <xdr:cNvGraphicFramePr/>
      </xdr:nvGraphicFramePr>
      <xdr:xfrm>
        <a:off x="0" y="7048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6" min="4" style="0" width="12"/>
    <col collapsed="false" customWidth="true" hidden="false" outlineLevel="0" max="9" min="7" style="0" width="15"/>
    <col collapsed="false" customWidth="true" hidden="false" outlineLevel="0" max="12" min="10" style="0" width="8"/>
    <col collapsed="false" customWidth="true" hidden="false" outlineLevel="0" max="13" min="13" style="0" width="15"/>
    <col collapsed="false" customWidth="true" hidden="false" outlineLevel="0" max="15" min="14" style="0" width="9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5" hidden="false" customHeight="false" outlineLevel="0" collapsed="false">
      <c r="A5" s="5" t="n">
        <v>12</v>
      </c>
      <c r="B5" s="5" t="s">
        <v>20</v>
      </c>
      <c r="C5" s="6" t="s">
        <v>21</v>
      </c>
      <c r="D5" s="7" t="n">
        <v>44609</v>
      </c>
      <c r="E5" s="7" t="n">
        <v>44823</v>
      </c>
      <c r="F5" s="7" t="n">
        <v>44875</v>
      </c>
      <c r="G5" s="8" t="n">
        <v>25900000</v>
      </c>
      <c r="H5" s="8"/>
      <c r="I5" s="8" t="n">
        <v>0</v>
      </c>
      <c r="J5" s="9" t="str">
        <f aca="false">IF(F5="","",IFERROR(INDEX(設定!$A$8:$A$15,MATCH(F5,設定!$B$8:$B$15,1)),"対象外"))</f>
        <v>10期</v>
      </c>
      <c r="K5" s="9" t="str">
        <f aca="false">IF(F5="","未売却",IF(F5&lt;=設定!$B$3,"実績","予定"))</f>
        <v>実績</v>
      </c>
      <c r="L5" s="9" t="n">
        <f aca="false">IF(F5="",0,IF(OR(設定!$B$4="全て",K5="実績"),1,0))</f>
        <v>1</v>
      </c>
      <c r="M5" s="10" t="str">
        <f aca="false">IF(OR(G5="",H5=""),"",G5-H5-I5)</f>
        <v/>
      </c>
      <c r="N5" s="11" t="str">
        <f aca="false">IF(M5="","",M5/G5)</f>
        <v/>
      </c>
      <c r="O5" s="10" t="n">
        <f aca="false">IF(OR(D5="",F5=""),"",F5-D5)</f>
        <v>266</v>
      </c>
      <c r="P5" s="9" t="str">
        <f aca="false">IF(G5="","",IF(INT(G5/設定!$B$5)*設定!$B$5&gt;=100000000,TEXT(INT(G5/設定!$B$5)*設定!$B$5/100000000,"0.0")&amp;"億",TEXT(INT(G5/設定!$B$5)*設定!$B$5/10000,"#,##0")&amp;"万")&amp;"〜")</f>
        <v>0万〜</v>
      </c>
      <c r="Q5" s="5" t="n">
        <v>16</v>
      </c>
      <c r="R5" s="12" t="s">
        <v>22</v>
      </c>
    </row>
    <row r="6" customFormat="false" ht="15" hidden="false" customHeight="false" outlineLevel="0" collapsed="false">
      <c r="A6" s="5" t="n">
        <v>19</v>
      </c>
      <c r="B6" s="6" t="s">
        <v>23</v>
      </c>
      <c r="C6" s="6" t="s">
        <v>24</v>
      </c>
      <c r="D6" s="7" t="n">
        <v>44693</v>
      </c>
      <c r="E6" s="7" t="n">
        <v>44819</v>
      </c>
      <c r="F6" s="7" t="n">
        <v>44889</v>
      </c>
      <c r="G6" s="8" t="n">
        <v>59800000</v>
      </c>
      <c r="H6" s="8"/>
      <c r="I6" s="8" t="n">
        <v>13000000</v>
      </c>
      <c r="J6" s="9" t="str">
        <f aca="false">IF(F6="","",IFERROR(INDEX(設定!$A$8:$A$15,MATCH(F6,設定!$B$8:$B$15,1)),"対象外"))</f>
        <v>10期</v>
      </c>
      <c r="K6" s="9" t="str">
        <f aca="false">IF(F6="","未売却",IF(F6&lt;=設定!$B$3,"実績","予定"))</f>
        <v>実績</v>
      </c>
      <c r="L6" s="9" t="n">
        <f aca="false">IF(F6="",0,IF(OR(設定!$B$4="全て",K6="実績"),1,0))</f>
        <v>1</v>
      </c>
      <c r="M6" s="10" t="str">
        <f aca="false">IF(OR(G6="",H6=""),"",G6-H6-I6)</f>
        <v/>
      </c>
      <c r="N6" s="11" t="str">
        <f aca="false">IF(M6="","",M6/G6)</f>
        <v/>
      </c>
      <c r="O6" s="10" t="n">
        <f aca="false">IF(OR(D6="",F6=""),"",F6-D6)</f>
        <v>196</v>
      </c>
      <c r="P6" s="9" t="str">
        <f aca="false">IF(G6="","",IF(INT(G6/設定!$B$5)*設定!$B$5&gt;=100000000,TEXT(INT(G6/設定!$B$5)*設定!$B$5/100000000,"0.0")&amp;"億",TEXT(INT(G6/設定!$B$5)*設定!$B$5/10000,"#,##0")&amp;"万")&amp;"〜")</f>
        <v>5,000万〜</v>
      </c>
      <c r="Q6" s="5" t="n">
        <v>23</v>
      </c>
      <c r="R6" s="12" t="s">
        <v>22</v>
      </c>
    </row>
    <row r="7" customFormat="false" ht="15" hidden="false" customHeight="false" outlineLevel="0" collapsed="false">
      <c r="A7" s="5" t="n">
        <v>22</v>
      </c>
      <c r="B7" s="5" t="s">
        <v>20</v>
      </c>
      <c r="C7" s="6" t="s">
        <v>25</v>
      </c>
      <c r="D7" s="7" t="n">
        <v>44728</v>
      </c>
      <c r="E7" s="7" t="n">
        <v>44858</v>
      </c>
      <c r="F7" s="7" t="n">
        <v>44910</v>
      </c>
      <c r="G7" s="8" t="n">
        <v>69900000</v>
      </c>
      <c r="H7" s="8"/>
      <c r="I7" s="8" t="n">
        <v>0</v>
      </c>
      <c r="J7" s="9" t="str">
        <f aca="false">IF(F7="","",IFERROR(INDEX(設定!$A$8:$A$15,MATCH(F7,設定!$B$8:$B$15,1)),"対象外"))</f>
        <v>10期</v>
      </c>
      <c r="K7" s="9" t="str">
        <f aca="false">IF(F7="","未売却",IF(F7&lt;=設定!$B$3,"実績","予定"))</f>
        <v>実績</v>
      </c>
      <c r="L7" s="9" t="n">
        <f aca="false">IF(F7="",0,IF(OR(設定!$B$4="全て",K7="実績"),1,0))</f>
        <v>1</v>
      </c>
      <c r="M7" s="10" t="str">
        <f aca="false">IF(OR(G7="",H7=""),"",G7-H7-I7)</f>
        <v/>
      </c>
      <c r="N7" s="11" t="str">
        <f aca="false">IF(M7="","",M7/G7)</f>
        <v/>
      </c>
      <c r="O7" s="10" t="n">
        <f aca="false">IF(OR(D7="",F7=""),"",F7-D7)</f>
        <v>182</v>
      </c>
      <c r="P7" s="9" t="str">
        <f aca="false">IF(G7="","",IF(INT(G7/設定!$B$5)*設定!$B$5&gt;=100000000,TEXT(INT(G7/設定!$B$5)*設定!$B$5/100000000,"0.0")&amp;"億",TEXT(INT(G7/設定!$B$5)*設定!$B$5/10000,"#,##0")&amp;"万")&amp;"〜")</f>
        <v>5,000万〜</v>
      </c>
      <c r="Q7" s="5" t="n">
        <v>26</v>
      </c>
      <c r="R7" s="12" t="s">
        <v>22</v>
      </c>
    </row>
    <row r="8" customFormat="false" ht="15" hidden="false" customHeight="false" outlineLevel="0" collapsed="false">
      <c r="A8" s="5" t="n">
        <v>29</v>
      </c>
      <c r="B8" s="6" t="s">
        <v>26</v>
      </c>
      <c r="C8" s="6" t="s">
        <v>27</v>
      </c>
      <c r="D8" s="7" t="n">
        <v>44799</v>
      </c>
      <c r="E8" s="7" t="n">
        <v>44878</v>
      </c>
      <c r="F8" s="7" t="n">
        <v>44914</v>
      </c>
      <c r="G8" s="8" t="n">
        <v>67800000</v>
      </c>
      <c r="H8" s="8"/>
      <c r="I8" s="8" t="n">
        <v>9000000</v>
      </c>
      <c r="J8" s="9" t="str">
        <f aca="false">IF(F8="","",IFERROR(INDEX(設定!$A$8:$A$15,MATCH(F8,設定!$B$8:$B$15,1)),"対象外"))</f>
        <v>10期</v>
      </c>
      <c r="K8" s="9" t="str">
        <f aca="false">IF(F8="","未売却",IF(F8&lt;=設定!$B$3,"実績","予定"))</f>
        <v>実績</v>
      </c>
      <c r="L8" s="9" t="n">
        <f aca="false">IF(F8="",0,IF(OR(設定!$B$4="全て",K8="実績"),1,0))</f>
        <v>1</v>
      </c>
      <c r="M8" s="10" t="str">
        <f aca="false">IF(OR(G8="",H8=""),"",G8-H8-I8)</f>
        <v/>
      </c>
      <c r="N8" s="11" t="str">
        <f aca="false">IF(M8="","",M8/G8)</f>
        <v/>
      </c>
      <c r="O8" s="10" t="n">
        <f aca="false">IF(OR(D8="",F8=""),"",F8-D8)</f>
        <v>115</v>
      </c>
      <c r="P8" s="9" t="str">
        <f aca="false">IF(G8="","",IF(INT(G8/設定!$B$5)*設定!$B$5&gt;=100000000,TEXT(INT(G8/設定!$B$5)*設定!$B$5/100000000,"0.0")&amp;"億",TEXT(INT(G8/設定!$B$5)*設定!$B$5/10000,"#,##0")&amp;"万")&amp;"〜")</f>
        <v>5,000万〜</v>
      </c>
      <c r="Q8" s="5" t="n">
        <v>33</v>
      </c>
      <c r="R8" s="12" t="s">
        <v>22</v>
      </c>
    </row>
    <row r="9" customFormat="false" ht="15" hidden="false" customHeight="false" outlineLevel="0" collapsed="false">
      <c r="A9" s="5" t="n">
        <v>39</v>
      </c>
      <c r="B9" s="5" t="s">
        <v>20</v>
      </c>
      <c r="C9" s="6" t="s">
        <v>28</v>
      </c>
      <c r="D9" s="7" t="n">
        <v>44862</v>
      </c>
      <c r="E9" s="7" t="n">
        <v>44834</v>
      </c>
      <c r="F9" s="7" t="n">
        <v>44915</v>
      </c>
      <c r="G9" s="8" t="n">
        <v>109000000</v>
      </c>
      <c r="H9" s="8"/>
      <c r="I9" s="8" t="n">
        <v>0</v>
      </c>
      <c r="J9" s="9" t="str">
        <f aca="false">IF(F9="","",IFERROR(INDEX(設定!$A$8:$A$15,MATCH(F9,設定!$B$8:$B$15,1)),"対象外"))</f>
        <v>10期</v>
      </c>
      <c r="K9" s="9" t="str">
        <f aca="false">IF(F9="","未売却",IF(F9&lt;=設定!$B$3,"実績","予定"))</f>
        <v>実績</v>
      </c>
      <c r="L9" s="9" t="n">
        <f aca="false">IF(F9="",0,IF(OR(設定!$B$4="全て",K9="実績"),1,0))</f>
        <v>1</v>
      </c>
      <c r="M9" s="10" t="str">
        <f aca="false">IF(OR(G9="",H9=""),"",G9-H9-I9)</f>
        <v/>
      </c>
      <c r="N9" s="11" t="str">
        <f aca="false">IF(M9="","",M9/G9)</f>
        <v/>
      </c>
      <c r="O9" s="10" t="n">
        <f aca="false">IF(OR(D9="",F9=""),"",F9-D9)</f>
        <v>53</v>
      </c>
      <c r="P9" s="9" t="str">
        <f aca="false">IF(G9="","",IF(INT(G9/設定!$B$5)*設定!$B$5&gt;=100000000,TEXT(INT(G9/設定!$B$5)*設定!$B$5/100000000,"0.0")&amp;"億",TEXT(INT(G9/設定!$B$5)*設定!$B$5/10000,"#,##0")&amp;"万")&amp;"〜")</f>
        <v>1.0億〜</v>
      </c>
      <c r="Q9" s="5" t="n">
        <v>43</v>
      </c>
      <c r="R9" s="12" t="s">
        <v>22</v>
      </c>
    </row>
    <row r="10" customFormat="false" ht="15" hidden="false" customHeight="false" outlineLevel="0" collapsed="false">
      <c r="A10" s="5" t="n">
        <v>20</v>
      </c>
      <c r="B10" s="6" t="s">
        <v>23</v>
      </c>
      <c r="C10" s="6" t="s">
        <v>29</v>
      </c>
      <c r="D10" s="7" t="n">
        <v>44693</v>
      </c>
      <c r="E10" s="7" t="n">
        <v>44885</v>
      </c>
      <c r="F10" s="7" t="n">
        <v>44921</v>
      </c>
      <c r="G10" s="8" t="n">
        <v>59800000</v>
      </c>
      <c r="H10" s="8"/>
      <c r="I10" s="8" t="n">
        <v>13000000</v>
      </c>
      <c r="J10" s="9" t="str">
        <f aca="false">IF(F10="","",IFERROR(INDEX(設定!$A$8:$A$15,MATCH(F10,設定!$B$8:$B$15,1)),"対象外"))</f>
        <v>10期</v>
      </c>
      <c r="K10" s="9" t="str">
        <f aca="false">IF(F10="","未売却",IF(F10&lt;=設定!$B$3,"実績","予定"))</f>
        <v>実績</v>
      </c>
      <c r="L10" s="9" t="n">
        <f aca="false">IF(F10="",0,IF(OR(設定!$B$4="全て",K10="実績"),1,0))</f>
        <v>1</v>
      </c>
      <c r="M10" s="10" t="str">
        <f aca="false">IF(OR(G10="",H10=""),"",G10-H10-I10)</f>
        <v/>
      </c>
      <c r="N10" s="11" t="str">
        <f aca="false">IF(M10="","",M10/G10)</f>
        <v/>
      </c>
      <c r="O10" s="10" t="n">
        <f aca="false">IF(OR(D10="",F10=""),"",F10-D10)</f>
        <v>228</v>
      </c>
      <c r="P10" s="9" t="str">
        <f aca="false">IF(G10="","",IF(INT(G10/設定!$B$5)*設定!$B$5&gt;=100000000,TEXT(INT(G10/設定!$B$5)*設定!$B$5/100000000,"0.0")&amp;"億",TEXT(INT(G10/設定!$B$5)*設定!$B$5/10000,"#,##0")&amp;"万")&amp;"〜")</f>
        <v>5,000万〜</v>
      </c>
      <c r="Q10" s="5" t="n">
        <v>24</v>
      </c>
      <c r="R10" s="12" t="s">
        <v>22</v>
      </c>
    </row>
    <row r="11" customFormat="false" ht="15" hidden="false" customHeight="false" outlineLevel="0" collapsed="false">
      <c r="A11" s="5" t="n">
        <v>2</v>
      </c>
      <c r="B11" s="6" t="s">
        <v>23</v>
      </c>
      <c r="C11" s="6" t="s">
        <v>30</v>
      </c>
      <c r="D11" s="7" t="n">
        <v>44413</v>
      </c>
      <c r="E11" s="7" t="n">
        <v>44903</v>
      </c>
      <c r="F11" s="7" t="n">
        <v>44922</v>
      </c>
      <c r="G11" s="8" t="n">
        <v>47800000</v>
      </c>
      <c r="H11" s="8"/>
      <c r="I11" s="8" t="n">
        <v>22000000</v>
      </c>
      <c r="J11" s="9" t="str">
        <f aca="false">IF(F11="","",IFERROR(INDEX(設定!$A$8:$A$15,MATCH(F11,設定!$B$8:$B$15,1)),"対象外"))</f>
        <v>10期</v>
      </c>
      <c r="K11" s="9" t="str">
        <f aca="false">IF(F11="","未売却",IF(F11&lt;=設定!$B$3,"実績","予定"))</f>
        <v>実績</v>
      </c>
      <c r="L11" s="9" t="n">
        <f aca="false">IF(F11="",0,IF(OR(設定!$B$4="全て",K11="実績"),1,0))</f>
        <v>1</v>
      </c>
      <c r="M11" s="10" t="str">
        <f aca="false">IF(OR(G11="",H11=""),"",G11-H11-I11)</f>
        <v/>
      </c>
      <c r="N11" s="11" t="str">
        <f aca="false">IF(M11="","",M11/G11)</f>
        <v/>
      </c>
      <c r="O11" s="10" t="n">
        <f aca="false">IF(OR(D11="",F11=""),"",F11-D11)</f>
        <v>509</v>
      </c>
      <c r="P11" s="9" t="str">
        <f aca="false">IF(G11="","",IF(INT(G11/設定!$B$5)*設定!$B$5&gt;=100000000,TEXT(INT(G11/設定!$B$5)*設定!$B$5/100000000,"0.0")&amp;"億",TEXT(INT(G11/設定!$B$5)*設定!$B$5/10000,"#,##0")&amp;"万")&amp;"〜")</f>
        <v>0万〜</v>
      </c>
      <c r="Q11" s="5" t="n">
        <v>6</v>
      </c>
      <c r="R11" s="12" t="s">
        <v>22</v>
      </c>
    </row>
    <row r="12" customFormat="false" ht="15" hidden="false" customHeight="false" outlineLevel="0" collapsed="false">
      <c r="A12" s="5" t="n">
        <v>18</v>
      </c>
      <c r="B12" s="6" t="s">
        <v>26</v>
      </c>
      <c r="C12" s="6" t="s">
        <v>31</v>
      </c>
      <c r="D12" s="7" t="n">
        <v>44620</v>
      </c>
      <c r="E12" s="7" t="n">
        <v>44822</v>
      </c>
      <c r="F12" s="7" t="n">
        <v>44932</v>
      </c>
      <c r="G12" s="8" t="n">
        <v>92800000</v>
      </c>
      <c r="H12" s="8"/>
      <c r="I12" s="8" t="n">
        <v>0</v>
      </c>
      <c r="J12" s="9" t="str">
        <f aca="false">IF(F12="","",IFERROR(INDEX(設定!$A$8:$A$15,MATCH(F12,設定!$B$8:$B$15,1)),"対象外"))</f>
        <v>10期</v>
      </c>
      <c r="K12" s="9" t="str">
        <f aca="false">IF(F12="","未売却",IF(F12&lt;=設定!$B$3,"実績","予定"))</f>
        <v>実績</v>
      </c>
      <c r="L12" s="9" t="n">
        <f aca="false">IF(F12="",0,IF(OR(設定!$B$4="全て",K12="実績"),1,0))</f>
        <v>1</v>
      </c>
      <c r="M12" s="10" t="str">
        <f aca="false">IF(OR(G12="",H12=""),"",G12-H12-I12)</f>
        <v/>
      </c>
      <c r="N12" s="11" t="str">
        <f aca="false">IF(M12="","",M12/G12)</f>
        <v/>
      </c>
      <c r="O12" s="10" t="n">
        <f aca="false">IF(OR(D12="",F12=""),"",F12-D12)</f>
        <v>312</v>
      </c>
      <c r="P12" s="9" t="str">
        <f aca="false">IF(G12="","",IF(INT(G12/設定!$B$5)*設定!$B$5&gt;=100000000,TEXT(INT(G12/設定!$B$5)*設定!$B$5/100000000,"0.0")&amp;"億",TEXT(INT(G12/設定!$B$5)*設定!$B$5/10000,"#,##0")&amp;"万")&amp;"〜")</f>
        <v>5,000万〜</v>
      </c>
      <c r="Q12" s="5" t="n">
        <v>22</v>
      </c>
      <c r="R12" s="12" t="s">
        <v>22</v>
      </c>
    </row>
    <row r="13" customFormat="false" ht="15" hidden="false" customHeight="false" outlineLevel="0" collapsed="false">
      <c r="A13" s="5" t="n">
        <v>15</v>
      </c>
      <c r="B13" s="6" t="s">
        <v>23</v>
      </c>
      <c r="C13" s="6" t="s">
        <v>32</v>
      </c>
      <c r="D13" s="7" t="n">
        <v>44681</v>
      </c>
      <c r="E13" s="7" t="n">
        <v>44794</v>
      </c>
      <c r="F13" s="7" t="n">
        <v>44953</v>
      </c>
      <c r="G13" s="8" t="n">
        <v>39900000</v>
      </c>
      <c r="H13" s="8"/>
      <c r="I13" s="8" t="n">
        <v>14000000</v>
      </c>
      <c r="J13" s="9" t="str">
        <f aca="false">IF(F13="","",IFERROR(INDEX(設定!$A$8:$A$15,MATCH(F13,設定!$B$8:$B$15,1)),"対象外"))</f>
        <v>10期</v>
      </c>
      <c r="K13" s="9" t="str">
        <f aca="false">IF(F13="","未売却",IF(F13&lt;=設定!$B$3,"実績","予定"))</f>
        <v>実績</v>
      </c>
      <c r="L13" s="9" t="n">
        <f aca="false">IF(F13="",0,IF(OR(設定!$B$4="全て",K13="実績"),1,0))</f>
        <v>1</v>
      </c>
      <c r="M13" s="10" t="str">
        <f aca="false">IF(OR(G13="",H13=""),"",G13-H13-I13)</f>
        <v/>
      </c>
      <c r="N13" s="11" t="str">
        <f aca="false">IF(M13="","",M13/G13)</f>
        <v/>
      </c>
      <c r="O13" s="10" t="n">
        <f aca="false">IF(OR(D13="",F13=""),"",F13-D13)</f>
        <v>272</v>
      </c>
      <c r="P13" s="9" t="str">
        <f aca="false">IF(G13="","",IF(INT(G13/設定!$B$5)*設定!$B$5&gt;=100000000,TEXT(INT(G13/設定!$B$5)*設定!$B$5/100000000,"0.0")&amp;"億",TEXT(INT(G13/設定!$B$5)*設定!$B$5/10000,"#,##0")&amp;"万")&amp;"〜")</f>
        <v>0万〜</v>
      </c>
      <c r="Q13" s="5" t="n">
        <v>19</v>
      </c>
      <c r="R13" s="12" t="s">
        <v>22</v>
      </c>
    </row>
    <row r="14" customFormat="false" ht="15" hidden="false" customHeight="false" outlineLevel="0" collapsed="false">
      <c r="A14" s="5" t="n">
        <v>36</v>
      </c>
      <c r="B14" s="6" t="s">
        <v>26</v>
      </c>
      <c r="C14" s="6" t="s">
        <v>33</v>
      </c>
      <c r="D14" s="7" t="n">
        <v>44834</v>
      </c>
      <c r="E14" s="7" t="n">
        <v>44909</v>
      </c>
      <c r="F14" s="7" t="n">
        <v>44963</v>
      </c>
      <c r="G14" s="8" t="n">
        <v>58800000</v>
      </c>
      <c r="H14" s="8"/>
      <c r="I14" s="8" t="n">
        <v>5000000</v>
      </c>
      <c r="J14" s="9" t="str">
        <f aca="false">IF(F14="","",IFERROR(INDEX(設定!$A$8:$A$15,MATCH(F14,設定!$B$8:$B$15,1)),"対象外"))</f>
        <v>10期</v>
      </c>
      <c r="K14" s="9" t="str">
        <f aca="false">IF(F14="","未売却",IF(F14&lt;=設定!$B$3,"実績","予定"))</f>
        <v>実績</v>
      </c>
      <c r="L14" s="9" t="n">
        <f aca="false">IF(F14="",0,IF(OR(設定!$B$4="全て",K14="実績"),1,0))</f>
        <v>1</v>
      </c>
      <c r="M14" s="10" t="str">
        <f aca="false">IF(OR(G14="",H14=""),"",G14-H14-I14)</f>
        <v/>
      </c>
      <c r="N14" s="11" t="str">
        <f aca="false">IF(M14="","",M14/G14)</f>
        <v/>
      </c>
      <c r="O14" s="10" t="n">
        <f aca="false">IF(OR(D14="",F14=""),"",F14-D14)</f>
        <v>129</v>
      </c>
      <c r="P14" s="9" t="str">
        <f aca="false">IF(G14="","",IF(INT(G14/設定!$B$5)*設定!$B$5&gt;=100000000,TEXT(INT(G14/設定!$B$5)*設定!$B$5/100000000,"0.0")&amp;"億",TEXT(INT(G14/設定!$B$5)*設定!$B$5/10000,"#,##0")&amp;"万")&amp;"〜")</f>
        <v>5,000万〜</v>
      </c>
      <c r="Q14" s="5" t="n">
        <v>40</v>
      </c>
      <c r="R14" s="12" t="s">
        <v>22</v>
      </c>
    </row>
    <row r="15" customFormat="false" ht="15" hidden="false" customHeight="false" outlineLevel="0" collapsed="false">
      <c r="A15" s="5" t="n">
        <v>14</v>
      </c>
      <c r="B15" s="6" t="s">
        <v>23</v>
      </c>
      <c r="C15" s="6" t="s">
        <v>34</v>
      </c>
      <c r="D15" s="7" t="n">
        <v>44681</v>
      </c>
      <c r="E15" s="7" t="n">
        <v>44915</v>
      </c>
      <c r="F15" s="7" t="n">
        <v>44970</v>
      </c>
      <c r="G15" s="8" t="n">
        <v>39900000</v>
      </c>
      <c r="H15" s="8"/>
      <c r="I15" s="8" t="n">
        <v>14000000</v>
      </c>
      <c r="J15" s="9" t="str">
        <f aca="false">IF(F15="","",IFERROR(INDEX(設定!$A$8:$A$15,MATCH(F15,設定!$B$8:$B$15,1)),"対象外"))</f>
        <v>10期</v>
      </c>
      <c r="K15" s="9" t="str">
        <f aca="false">IF(F15="","未売却",IF(F15&lt;=設定!$B$3,"実績","予定"))</f>
        <v>実績</v>
      </c>
      <c r="L15" s="9" t="n">
        <f aca="false">IF(F15="",0,IF(OR(設定!$B$4="全て",K15="実績"),1,0))</f>
        <v>1</v>
      </c>
      <c r="M15" s="10" t="str">
        <f aca="false">IF(OR(G15="",H15=""),"",G15-H15-I15)</f>
        <v/>
      </c>
      <c r="N15" s="11" t="str">
        <f aca="false">IF(M15="","",M15/G15)</f>
        <v/>
      </c>
      <c r="O15" s="10" t="n">
        <f aca="false">IF(OR(D15="",F15=""),"",F15-D15)</f>
        <v>289</v>
      </c>
      <c r="P15" s="9" t="str">
        <f aca="false">IF(G15="","",IF(INT(G15/設定!$B$5)*設定!$B$5&gt;=100000000,TEXT(INT(G15/設定!$B$5)*設定!$B$5/100000000,"0.0")&amp;"億",TEXT(INT(G15/設定!$B$5)*設定!$B$5/10000,"#,##0")&amp;"万")&amp;"〜")</f>
        <v>0万〜</v>
      </c>
      <c r="Q15" s="5" t="n">
        <v>18</v>
      </c>
      <c r="R15" s="12" t="s">
        <v>22</v>
      </c>
    </row>
    <row r="16" customFormat="false" ht="15" hidden="false" customHeight="false" outlineLevel="0" collapsed="false">
      <c r="A16" s="5" t="n">
        <v>16</v>
      </c>
      <c r="B16" s="6" t="s">
        <v>23</v>
      </c>
      <c r="C16" s="6" t="s">
        <v>35</v>
      </c>
      <c r="D16" s="7" t="n">
        <v>44681</v>
      </c>
      <c r="E16" s="7" t="n">
        <v>44898</v>
      </c>
      <c r="F16" s="7" t="n">
        <v>44970</v>
      </c>
      <c r="G16" s="8" t="n">
        <v>39900000</v>
      </c>
      <c r="H16" s="8"/>
      <c r="I16" s="8" t="n">
        <v>14000000</v>
      </c>
      <c r="J16" s="9" t="str">
        <f aca="false">IF(F16="","",IFERROR(INDEX(設定!$A$8:$A$15,MATCH(F16,設定!$B$8:$B$15,1)),"対象外"))</f>
        <v>10期</v>
      </c>
      <c r="K16" s="9" t="str">
        <f aca="false">IF(F16="","未売却",IF(F16&lt;=設定!$B$3,"実績","予定"))</f>
        <v>実績</v>
      </c>
      <c r="L16" s="9" t="n">
        <f aca="false">IF(F16="",0,IF(OR(設定!$B$4="全て",K16="実績"),1,0))</f>
        <v>1</v>
      </c>
      <c r="M16" s="10" t="str">
        <f aca="false">IF(OR(G16="",H16=""),"",G16-H16-I16)</f>
        <v/>
      </c>
      <c r="N16" s="11" t="str">
        <f aca="false">IF(M16="","",M16/G16)</f>
        <v/>
      </c>
      <c r="O16" s="10" t="n">
        <f aca="false">IF(OR(D16="",F16=""),"",F16-D16)</f>
        <v>289</v>
      </c>
      <c r="P16" s="9" t="str">
        <f aca="false">IF(G16="","",IF(INT(G16/設定!$B$5)*設定!$B$5&gt;=100000000,TEXT(INT(G16/設定!$B$5)*設定!$B$5/100000000,"0.0")&amp;"億",TEXT(INT(G16/設定!$B$5)*設定!$B$5/10000,"#,##0")&amp;"万")&amp;"〜")</f>
        <v>0万〜</v>
      </c>
      <c r="Q16" s="5" t="n">
        <v>20</v>
      </c>
      <c r="R16" s="12" t="s">
        <v>22</v>
      </c>
    </row>
    <row r="17" customFormat="false" ht="15" hidden="false" customHeight="false" outlineLevel="0" collapsed="false">
      <c r="A17" s="5" t="n">
        <v>7</v>
      </c>
      <c r="B17" s="6" t="s">
        <v>23</v>
      </c>
      <c r="C17" s="6" t="s">
        <v>36</v>
      </c>
      <c r="D17" s="7" t="n">
        <v>44540</v>
      </c>
      <c r="E17" s="7" t="n">
        <v>44946</v>
      </c>
      <c r="F17" s="7" t="n">
        <v>44985</v>
      </c>
      <c r="G17" s="8" t="n">
        <v>126500000</v>
      </c>
      <c r="H17" s="8"/>
      <c r="I17" s="8" t="n">
        <v>31691326</v>
      </c>
      <c r="J17" s="9" t="str">
        <f aca="false">IF(F17="","",IFERROR(INDEX(設定!$A$8:$A$15,MATCH(F17,設定!$B$8:$B$15,1)),"対象外"))</f>
        <v>10期</v>
      </c>
      <c r="K17" s="9" t="str">
        <f aca="false">IF(F17="","未売却",IF(F17&lt;=設定!$B$3,"実績","予定"))</f>
        <v>実績</v>
      </c>
      <c r="L17" s="9" t="n">
        <f aca="false">IF(F17="",0,IF(OR(設定!$B$4="全て",K17="実績"),1,0))</f>
        <v>1</v>
      </c>
      <c r="M17" s="10" t="str">
        <f aca="false">IF(OR(G17="",H17=""),"",G17-H17-I17)</f>
        <v/>
      </c>
      <c r="N17" s="11" t="str">
        <f aca="false">IF(M17="","",M17/G17)</f>
        <v/>
      </c>
      <c r="O17" s="10" t="n">
        <f aca="false">IF(OR(D17="",F17=""),"",F17-D17)</f>
        <v>445</v>
      </c>
      <c r="P17" s="9" t="str">
        <f aca="false">IF(G17="","",IF(INT(G17/設定!$B$5)*設定!$B$5&gt;=100000000,TEXT(INT(G17/設定!$B$5)*設定!$B$5/100000000,"0.0")&amp;"億",TEXT(INT(G17/設定!$B$5)*設定!$B$5/10000,"#,##0")&amp;"万")&amp;"〜")</f>
        <v>1.0億〜</v>
      </c>
      <c r="Q17" s="5" t="n">
        <v>11</v>
      </c>
      <c r="R17" s="12" t="s">
        <v>22</v>
      </c>
    </row>
    <row r="18" customFormat="false" ht="15" hidden="false" customHeight="false" outlineLevel="0" collapsed="false">
      <c r="A18" s="5" t="n">
        <v>59</v>
      </c>
      <c r="B18" s="5" t="s">
        <v>20</v>
      </c>
      <c r="C18" s="6" t="s">
        <v>37</v>
      </c>
      <c r="D18" s="7"/>
      <c r="E18" s="7" t="n">
        <v>44975</v>
      </c>
      <c r="F18" s="7" t="n">
        <v>44985</v>
      </c>
      <c r="G18" s="8" t="n">
        <v>34800000</v>
      </c>
      <c r="H18" s="8"/>
      <c r="I18" s="8" t="n">
        <v>0</v>
      </c>
      <c r="J18" s="9" t="str">
        <f aca="false">IF(F18="","",IFERROR(INDEX(設定!$A$8:$A$15,MATCH(F18,設定!$B$8:$B$15,1)),"対象外"))</f>
        <v>10期</v>
      </c>
      <c r="K18" s="9" t="str">
        <f aca="false">IF(F18="","未売却",IF(F18&lt;=設定!$B$3,"実績","予定"))</f>
        <v>実績</v>
      </c>
      <c r="L18" s="9" t="n">
        <f aca="false">IF(F18="",0,IF(OR(設定!$B$4="全て",K18="実績"),1,0))</f>
        <v>1</v>
      </c>
      <c r="M18" s="10" t="str">
        <f aca="false">IF(OR(G18="",H18=""),"",G18-H18-I18)</f>
        <v/>
      </c>
      <c r="N18" s="11" t="str">
        <f aca="false">IF(M18="","",M18/G18)</f>
        <v/>
      </c>
      <c r="O18" s="10" t="str">
        <f aca="false">IF(OR(D18="",F18=""),"",F18-D18)</f>
        <v/>
      </c>
      <c r="P18" s="9" t="str">
        <f aca="false">IF(G18="","",IF(INT(G18/設定!$B$5)*設定!$B$5&gt;=100000000,TEXT(INT(G18/設定!$B$5)*設定!$B$5/100000000,"0.0")&amp;"億",TEXT(INT(G18/設定!$B$5)*設定!$B$5/10000,"#,##0")&amp;"万")&amp;"〜")</f>
        <v>0万〜</v>
      </c>
      <c r="Q18" s="5" t="n">
        <v>63</v>
      </c>
      <c r="R18" s="12" t="s">
        <v>38</v>
      </c>
    </row>
    <row r="19" customFormat="false" ht="15" hidden="false" customHeight="false" outlineLevel="0" collapsed="false">
      <c r="A19" s="5" t="n">
        <v>10</v>
      </c>
      <c r="B19" s="5" t="s">
        <v>20</v>
      </c>
      <c r="C19" s="6" t="s">
        <v>39</v>
      </c>
      <c r="D19" s="7" t="n">
        <v>44558</v>
      </c>
      <c r="E19" s="7" t="n">
        <v>44954</v>
      </c>
      <c r="F19" s="7" t="n">
        <v>44991</v>
      </c>
      <c r="G19" s="8" t="n">
        <v>42000000</v>
      </c>
      <c r="H19" s="8"/>
      <c r="I19" s="8" t="n">
        <v>0</v>
      </c>
      <c r="J19" s="9" t="str">
        <f aca="false">IF(F19="","",IFERROR(INDEX(設定!$A$8:$A$15,MATCH(F19,設定!$B$8:$B$15,1)),"対象外"))</f>
        <v>10期</v>
      </c>
      <c r="K19" s="9" t="str">
        <f aca="false">IF(F19="","未売却",IF(F19&lt;=設定!$B$3,"実績","予定"))</f>
        <v>実績</v>
      </c>
      <c r="L19" s="9" t="n">
        <f aca="false">IF(F19="",0,IF(OR(設定!$B$4="全て",K19="実績"),1,0))</f>
        <v>1</v>
      </c>
      <c r="M19" s="10" t="str">
        <f aca="false">IF(OR(G19="",H19=""),"",G19-H19-I19)</f>
        <v/>
      </c>
      <c r="N19" s="11" t="str">
        <f aca="false">IF(M19="","",M19/G19)</f>
        <v/>
      </c>
      <c r="O19" s="10" t="n">
        <f aca="false">IF(OR(D19="",F19=""),"",F19-D19)</f>
        <v>433</v>
      </c>
      <c r="P19" s="9" t="str">
        <f aca="false">IF(G19="","",IF(INT(G19/設定!$B$5)*設定!$B$5&gt;=100000000,TEXT(INT(G19/設定!$B$5)*設定!$B$5/100000000,"0.0")&amp;"億",TEXT(INT(G19/設定!$B$5)*設定!$B$5/10000,"#,##0")&amp;"万")&amp;"〜")</f>
        <v>0万〜</v>
      </c>
      <c r="Q19" s="5" t="n">
        <v>14</v>
      </c>
      <c r="R19" s="12" t="s">
        <v>22</v>
      </c>
    </row>
    <row r="20" customFormat="false" ht="15" hidden="false" customHeight="false" outlineLevel="0" collapsed="false">
      <c r="A20" s="5" t="n">
        <v>4</v>
      </c>
      <c r="B20" s="6" t="s">
        <v>23</v>
      </c>
      <c r="C20" s="6" t="s">
        <v>40</v>
      </c>
      <c r="D20" s="7" t="n">
        <v>44644</v>
      </c>
      <c r="E20" s="7" t="n">
        <v>44955</v>
      </c>
      <c r="F20" s="7" t="n">
        <v>45008</v>
      </c>
      <c r="G20" s="8" t="n">
        <v>59500000</v>
      </c>
      <c r="H20" s="8"/>
      <c r="I20" s="8" t="n">
        <v>18000000</v>
      </c>
      <c r="J20" s="9" t="str">
        <f aca="false">IF(F20="","",IFERROR(INDEX(設定!$A$8:$A$15,MATCH(F20,設定!$B$8:$B$15,1)),"対象外"))</f>
        <v>10期</v>
      </c>
      <c r="K20" s="9" t="str">
        <f aca="false">IF(F20="","未売却",IF(F20&lt;=設定!$B$3,"実績","予定"))</f>
        <v>実績</v>
      </c>
      <c r="L20" s="9" t="n">
        <f aca="false">IF(F20="",0,IF(OR(設定!$B$4="全て",K20="実績"),1,0))</f>
        <v>1</v>
      </c>
      <c r="M20" s="10" t="str">
        <f aca="false">IF(OR(G20="",H20=""),"",G20-H20-I20)</f>
        <v/>
      </c>
      <c r="N20" s="11" t="str">
        <f aca="false">IF(M20="","",M20/G20)</f>
        <v/>
      </c>
      <c r="O20" s="10" t="n">
        <f aca="false">IF(OR(D20="",F20=""),"",F20-D20)</f>
        <v>364</v>
      </c>
      <c r="P20" s="9" t="str">
        <f aca="false">IF(G20="","",IF(INT(G20/設定!$B$5)*設定!$B$5&gt;=100000000,TEXT(INT(G20/設定!$B$5)*設定!$B$5/100000000,"0.0")&amp;"億",TEXT(INT(G20/設定!$B$5)*設定!$B$5/10000,"#,##0")&amp;"万")&amp;"〜")</f>
        <v>5,000万〜</v>
      </c>
      <c r="Q20" s="5" t="n">
        <v>8</v>
      </c>
      <c r="R20" s="12" t="s">
        <v>22</v>
      </c>
    </row>
    <row r="21" customFormat="false" ht="15" hidden="false" customHeight="false" outlineLevel="0" collapsed="false">
      <c r="A21" s="5" t="n">
        <v>8</v>
      </c>
      <c r="B21" s="6" t="s">
        <v>23</v>
      </c>
      <c r="C21" s="6" t="s">
        <v>41</v>
      </c>
      <c r="D21" s="7" t="n">
        <v>44681</v>
      </c>
      <c r="E21" s="7" t="n">
        <v>44834</v>
      </c>
      <c r="F21" s="7" t="n">
        <v>45012</v>
      </c>
      <c r="G21" s="8" t="n">
        <v>48800000</v>
      </c>
      <c r="H21" s="8"/>
      <c r="I21" s="8" t="n">
        <v>13100000</v>
      </c>
      <c r="J21" s="9" t="str">
        <f aca="false">IF(F21="","",IFERROR(INDEX(設定!$A$8:$A$15,MATCH(F21,設定!$B$8:$B$15,1)),"対象外"))</f>
        <v>10期</v>
      </c>
      <c r="K21" s="9" t="str">
        <f aca="false">IF(F21="","未売却",IF(F21&lt;=設定!$B$3,"実績","予定"))</f>
        <v>実績</v>
      </c>
      <c r="L21" s="9" t="n">
        <f aca="false">IF(F21="",0,IF(OR(設定!$B$4="全て",K21="実績"),1,0))</f>
        <v>1</v>
      </c>
      <c r="M21" s="10" t="str">
        <f aca="false">IF(OR(G21="",H21=""),"",G21-H21-I21)</f>
        <v/>
      </c>
      <c r="N21" s="11" t="str">
        <f aca="false">IF(M21="","",M21/G21)</f>
        <v/>
      </c>
      <c r="O21" s="10" t="n">
        <f aca="false">IF(OR(D21="",F21=""),"",F21-D21)</f>
        <v>331</v>
      </c>
      <c r="P21" s="9" t="str">
        <f aca="false">IF(G21="","",IF(INT(G21/設定!$B$5)*設定!$B$5&gt;=100000000,TEXT(INT(G21/設定!$B$5)*設定!$B$5/100000000,"0.0")&amp;"億",TEXT(INT(G21/設定!$B$5)*設定!$B$5/10000,"#,##0")&amp;"万")&amp;"〜")</f>
        <v>0万〜</v>
      </c>
      <c r="Q21" s="5" t="n">
        <v>12</v>
      </c>
      <c r="R21" s="12" t="s">
        <v>22</v>
      </c>
    </row>
    <row r="22" customFormat="false" ht="15" hidden="false" customHeight="false" outlineLevel="0" collapsed="false">
      <c r="A22" s="5" t="n">
        <v>35</v>
      </c>
      <c r="B22" s="6" t="s">
        <v>42</v>
      </c>
      <c r="C22" s="6" t="s">
        <v>43</v>
      </c>
      <c r="D22" s="7" t="n">
        <v>44830</v>
      </c>
      <c r="E22" s="7" t="n">
        <v>44972</v>
      </c>
      <c r="F22" s="7" t="n">
        <v>45015</v>
      </c>
      <c r="G22" s="8" t="n">
        <v>81000000</v>
      </c>
      <c r="H22" s="8"/>
      <c r="I22" s="8" t="n">
        <v>3000000</v>
      </c>
      <c r="J22" s="9" t="str">
        <f aca="false">IF(F22="","",IFERROR(INDEX(設定!$A$8:$A$15,MATCH(F22,設定!$B$8:$B$15,1)),"対象外"))</f>
        <v>10期</v>
      </c>
      <c r="K22" s="9" t="str">
        <f aca="false">IF(F22="","未売却",IF(F22&lt;=設定!$B$3,"実績","予定"))</f>
        <v>実績</v>
      </c>
      <c r="L22" s="9" t="n">
        <f aca="false">IF(F22="",0,IF(OR(設定!$B$4="全て",K22="実績"),1,0))</f>
        <v>1</v>
      </c>
      <c r="M22" s="10" t="str">
        <f aca="false">IF(OR(G22="",H22=""),"",G22-H22-I22)</f>
        <v/>
      </c>
      <c r="N22" s="11" t="str">
        <f aca="false">IF(M22="","",M22/G22)</f>
        <v/>
      </c>
      <c r="O22" s="10" t="n">
        <f aca="false">IF(OR(D22="",F22=""),"",F22-D22)</f>
        <v>185</v>
      </c>
      <c r="P22" s="9" t="str">
        <f aca="false">IF(G22="","",IF(INT(G22/設定!$B$5)*設定!$B$5&gt;=100000000,TEXT(INT(G22/設定!$B$5)*設定!$B$5/100000000,"0.0")&amp;"億",TEXT(INT(G22/設定!$B$5)*設定!$B$5/10000,"#,##0")&amp;"万")&amp;"〜")</f>
        <v>5,000万〜</v>
      </c>
      <c r="Q22" s="5" t="n">
        <v>39</v>
      </c>
      <c r="R22" s="12" t="s">
        <v>22</v>
      </c>
    </row>
    <row r="23" customFormat="false" ht="15" hidden="false" customHeight="false" outlineLevel="0" collapsed="false">
      <c r="A23" s="5" t="n">
        <v>44</v>
      </c>
      <c r="B23" s="6" t="s">
        <v>42</v>
      </c>
      <c r="C23" s="6" t="s">
        <v>44</v>
      </c>
      <c r="D23" s="7" t="n">
        <v>44985</v>
      </c>
      <c r="E23" s="7" t="n">
        <v>45008</v>
      </c>
      <c r="F23" s="7" t="n">
        <v>45058</v>
      </c>
      <c r="G23" s="8" t="n">
        <v>138000000</v>
      </c>
      <c r="H23" s="8" t="n">
        <v>107214000</v>
      </c>
      <c r="I23" s="8" t="n">
        <v>2000000</v>
      </c>
      <c r="J23" s="9" t="str">
        <f aca="false">IF(F23="","",IFERROR(INDEX(設定!$A$8:$A$15,MATCH(F23,設定!$B$8:$B$15,1)),"対象外"))</f>
        <v>10期</v>
      </c>
      <c r="K23" s="9" t="str">
        <f aca="false">IF(F23="","未売却",IF(F23&lt;=設定!$B$3,"実績","予定"))</f>
        <v>実績</v>
      </c>
      <c r="L23" s="9" t="n">
        <f aca="false">IF(F23="",0,IF(OR(設定!$B$4="全て",K23="実績"),1,0))</f>
        <v>1</v>
      </c>
      <c r="M23" s="10" t="n">
        <f aca="false">IF(OR(G23="",H23=""),"",G23-H23-I23)</f>
        <v>28786000</v>
      </c>
      <c r="N23" s="11" t="n">
        <f aca="false">IF(M23="","",M23/G23)</f>
        <v>0.208594202898551</v>
      </c>
      <c r="O23" s="10" t="n">
        <f aca="false">IF(OR(D23="",F23=""),"",F23-D23)</f>
        <v>73</v>
      </c>
      <c r="P23" s="9" t="str">
        <f aca="false">IF(G23="","",IF(INT(G23/設定!$B$5)*設定!$B$5&gt;=100000000,TEXT(INT(G23/設定!$B$5)*設定!$B$5/100000000,"0.0")&amp;"億",TEXT(INT(G23/設定!$B$5)*設定!$B$5/10000,"#,##0")&amp;"万")&amp;"〜")</f>
        <v>1.0億〜</v>
      </c>
      <c r="Q23" s="5" t="n">
        <v>48</v>
      </c>
      <c r="R23" s="12"/>
    </row>
    <row r="24" customFormat="false" ht="15" hidden="false" customHeight="false" outlineLevel="0" collapsed="false">
      <c r="A24" s="5" t="n">
        <v>43</v>
      </c>
      <c r="B24" s="6" t="s">
        <v>26</v>
      </c>
      <c r="C24" s="6" t="s">
        <v>45</v>
      </c>
      <c r="D24" s="7" t="n">
        <v>44921</v>
      </c>
      <c r="E24" s="7" t="n">
        <v>44980</v>
      </c>
      <c r="F24" s="7" t="n">
        <v>45072</v>
      </c>
      <c r="G24" s="8" t="n">
        <v>83800000</v>
      </c>
      <c r="H24" s="8" t="n">
        <v>64458000</v>
      </c>
      <c r="I24" s="8" t="n">
        <v>9000000</v>
      </c>
      <c r="J24" s="9" t="str">
        <f aca="false">IF(F24="","",IFERROR(INDEX(設定!$A$8:$A$15,MATCH(F24,設定!$B$8:$B$15,1)),"対象外"))</f>
        <v>10期</v>
      </c>
      <c r="K24" s="9" t="str">
        <f aca="false">IF(F24="","未売却",IF(F24&lt;=設定!$B$3,"実績","予定"))</f>
        <v>実績</v>
      </c>
      <c r="L24" s="9" t="n">
        <f aca="false">IF(F24="",0,IF(OR(設定!$B$4="全て",K24="実績"),1,0))</f>
        <v>1</v>
      </c>
      <c r="M24" s="10" t="n">
        <f aca="false">IF(OR(G24="",H24=""),"",G24-H24-I24)</f>
        <v>10342000</v>
      </c>
      <c r="N24" s="11" t="n">
        <f aca="false">IF(M24="","",M24/G24)</f>
        <v>0.123412887828162</v>
      </c>
      <c r="O24" s="10" t="n">
        <f aca="false">IF(OR(D24="",F24=""),"",F24-D24)</f>
        <v>151</v>
      </c>
      <c r="P24" s="9" t="str">
        <f aca="false">IF(G24="","",IF(INT(G24/設定!$B$5)*設定!$B$5&gt;=100000000,TEXT(INT(G24/設定!$B$5)*設定!$B$5/100000000,"0.0")&amp;"億",TEXT(INT(G24/設定!$B$5)*設定!$B$5/10000,"#,##0")&amp;"万")&amp;"〜")</f>
        <v>5,000万〜</v>
      </c>
      <c r="Q24" s="5" t="n">
        <v>47</v>
      </c>
      <c r="R24" s="12"/>
    </row>
    <row r="25" customFormat="false" ht="15" hidden="false" customHeight="false" outlineLevel="0" collapsed="false">
      <c r="A25" s="5" t="n">
        <v>24</v>
      </c>
      <c r="B25" s="6" t="s">
        <v>23</v>
      </c>
      <c r="C25" s="6" t="s">
        <v>46</v>
      </c>
      <c r="D25" s="7" t="n">
        <v>44736</v>
      </c>
      <c r="E25" s="7" t="n">
        <v>45018</v>
      </c>
      <c r="F25" s="7" t="n">
        <v>45075</v>
      </c>
      <c r="G25" s="8" t="n">
        <v>64800000</v>
      </c>
      <c r="H25" s="8"/>
      <c r="I25" s="8" t="n">
        <v>0</v>
      </c>
      <c r="J25" s="9" t="str">
        <f aca="false">IF(F25="","",IFERROR(INDEX(設定!$A$8:$A$15,MATCH(F25,設定!$B$8:$B$15,1)),"対象外"))</f>
        <v>10期</v>
      </c>
      <c r="K25" s="9" t="str">
        <f aca="false">IF(F25="","未売却",IF(F25&lt;=設定!$B$3,"実績","予定"))</f>
        <v>実績</v>
      </c>
      <c r="L25" s="9" t="n">
        <f aca="false">IF(F25="",0,IF(OR(設定!$B$4="全て",K25="実績"),1,0))</f>
        <v>1</v>
      </c>
      <c r="M25" s="10" t="str">
        <f aca="false">IF(OR(G25="",H25=""),"",G25-H25-I25)</f>
        <v/>
      </c>
      <c r="N25" s="11" t="str">
        <f aca="false">IF(M25="","",M25/G25)</f>
        <v/>
      </c>
      <c r="O25" s="10" t="n">
        <f aca="false">IF(OR(D25="",F25=""),"",F25-D25)</f>
        <v>339</v>
      </c>
      <c r="P25" s="9" t="str">
        <f aca="false">IF(G25="","",IF(INT(G25/設定!$B$5)*設定!$B$5&gt;=100000000,TEXT(INT(G25/設定!$B$5)*設定!$B$5/100000000,"0.0")&amp;"億",TEXT(INT(G25/設定!$B$5)*設定!$B$5/10000,"#,##0")&amp;"万")&amp;"〜")</f>
        <v>5,000万〜</v>
      </c>
      <c r="Q25" s="5" t="n">
        <v>28</v>
      </c>
      <c r="R25" s="12" t="s">
        <v>22</v>
      </c>
    </row>
    <row r="26" customFormat="false" ht="15" hidden="false" customHeight="false" outlineLevel="0" collapsed="false">
      <c r="A26" s="5" t="n">
        <v>25</v>
      </c>
      <c r="B26" s="6" t="s">
        <v>23</v>
      </c>
      <c r="C26" s="6" t="s">
        <v>47</v>
      </c>
      <c r="D26" s="7" t="n">
        <v>44782</v>
      </c>
      <c r="E26" s="7" t="n">
        <v>44905</v>
      </c>
      <c r="F26" s="7" t="n">
        <v>45075</v>
      </c>
      <c r="G26" s="8" t="n">
        <v>48800000</v>
      </c>
      <c r="H26" s="8"/>
      <c r="I26" s="8" t="n">
        <v>16000000</v>
      </c>
      <c r="J26" s="9" t="str">
        <f aca="false">IF(F26="","",IFERROR(INDEX(設定!$A$8:$A$15,MATCH(F26,設定!$B$8:$B$15,1)),"対象外"))</f>
        <v>10期</v>
      </c>
      <c r="K26" s="9" t="str">
        <f aca="false">IF(F26="","未売却",IF(F26&lt;=設定!$B$3,"実績","予定"))</f>
        <v>実績</v>
      </c>
      <c r="L26" s="9" t="n">
        <f aca="false">IF(F26="",0,IF(OR(設定!$B$4="全て",K26="実績"),1,0))</f>
        <v>1</v>
      </c>
      <c r="M26" s="10" t="str">
        <f aca="false">IF(OR(G26="",H26=""),"",G26-H26-I26)</f>
        <v/>
      </c>
      <c r="N26" s="11" t="str">
        <f aca="false">IF(M26="","",M26/G26)</f>
        <v/>
      </c>
      <c r="O26" s="10" t="n">
        <f aca="false">IF(OR(D26="",F26=""),"",F26-D26)</f>
        <v>293</v>
      </c>
      <c r="P26" s="9" t="str">
        <f aca="false">IF(G26="","",IF(INT(G26/設定!$B$5)*設定!$B$5&gt;=100000000,TEXT(INT(G26/設定!$B$5)*設定!$B$5/100000000,"0.0")&amp;"億",TEXT(INT(G26/設定!$B$5)*設定!$B$5/10000,"#,##0")&amp;"万")&amp;"〜")</f>
        <v>0万〜</v>
      </c>
      <c r="Q26" s="5" t="n">
        <v>29</v>
      </c>
      <c r="R26" s="12" t="s">
        <v>22</v>
      </c>
    </row>
    <row r="27" customFormat="false" ht="15" hidden="false" customHeight="false" outlineLevel="0" collapsed="false">
      <c r="A27" s="5" t="n">
        <v>23</v>
      </c>
      <c r="B27" s="6" t="s">
        <v>23</v>
      </c>
      <c r="C27" s="6" t="s">
        <v>48</v>
      </c>
      <c r="D27" s="7" t="n">
        <v>44736</v>
      </c>
      <c r="E27" s="7" t="n">
        <v>45031</v>
      </c>
      <c r="F27" s="7" t="n">
        <v>45076</v>
      </c>
      <c r="G27" s="8" t="n">
        <v>64800000</v>
      </c>
      <c r="H27" s="8"/>
      <c r="I27" s="8" t="n">
        <v>0</v>
      </c>
      <c r="J27" s="9" t="str">
        <f aca="false">IF(F27="","",IFERROR(INDEX(設定!$A$8:$A$15,MATCH(F27,設定!$B$8:$B$15,1)),"対象外"))</f>
        <v>10期</v>
      </c>
      <c r="K27" s="9" t="str">
        <f aca="false">IF(F27="","未売却",IF(F27&lt;=設定!$B$3,"実績","予定"))</f>
        <v>実績</v>
      </c>
      <c r="L27" s="9" t="n">
        <f aca="false">IF(F27="",0,IF(OR(設定!$B$4="全て",K27="実績"),1,0))</f>
        <v>1</v>
      </c>
      <c r="M27" s="10" t="str">
        <f aca="false">IF(OR(G27="",H27=""),"",G27-H27-I27)</f>
        <v/>
      </c>
      <c r="N27" s="11" t="str">
        <f aca="false">IF(M27="","",M27/G27)</f>
        <v/>
      </c>
      <c r="O27" s="10" t="n">
        <f aca="false">IF(OR(D27="",F27=""),"",F27-D27)</f>
        <v>340</v>
      </c>
      <c r="P27" s="9" t="str">
        <f aca="false">IF(G27="","",IF(INT(G27/設定!$B$5)*設定!$B$5&gt;=100000000,TEXT(INT(G27/設定!$B$5)*設定!$B$5/100000000,"0.0")&amp;"億",TEXT(INT(G27/設定!$B$5)*設定!$B$5/10000,"#,##0")&amp;"万")&amp;"〜")</f>
        <v>5,000万〜</v>
      </c>
      <c r="Q27" s="5" t="n">
        <v>27</v>
      </c>
      <c r="R27" s="12" t="s">
        <v>22</v>
      </c>
    </row>
    <row r="28" customFormat="false" ht="15" hidden="false" customHeight="false" outlineLevel="0" collapsed="false">
      <c r="A28" s="5" t="n">
        <v>26</v>
      </c>
      <c r="B28" s="6" t="s">
        <v>23</v>
      </c>
      <c r="C28" s="6" t="s">
        <v>49</v>
      </c>
      <c r="D28" s="7" t="n">
        <v>44782</v>
      </c>
      <c r="E28" s="7" t="n">
        <v>44870</v>
      </c>
      <c r="F28" s="7" t="n">
        <v>45082</v>
      </c>
      <c r="G28" s="8" t="n">
        <v>51800000</v>
      </c>
      <c r="H28" s="8"/>
      <c r="I28" s="8" t="n">
        <v>16250000</v>
      </c>
      <c r="J28" s="9" t="str">
        <f aca="false">IF(F28="","",IFERROR(INDEX(設定!$A$8:$A$15,MATCH(F28,設定!$B$8:$B$15,1)),"対象外"))</f>
        <v>10期</v>
      </c>
      <c r="K28" s="9" t="str">
        <f aca="false">IF(F28="","未売却",IF(F28&lt;=設定!$B$3,"実績","予定"))</f>
        <v>実績</v>
      </c>
      <c r="L28" s="9" t="n">
        <f aca="false">IF(F28="",0,IF(OR(設定!$B$4="全て",K28="実績"),1,0))</f>
        <v>1</v>
      </c>
      <c r="M28" s="10" t="str">
        <f aca="false">IF(OR(G28="",H28=""),"",G28-H28-I28)</f>
        <v/>
      </c>
      <c r="N28" s="11" t="str">
        <f aca="false">IF(M28="","",M28/G28)</f>
        <v/>
      </c>
      <c r="O28" s="10" t="n">
        <f aca="false">IF(OR(D28="",F28=""),"",F28-D28)</f>
        <v>300</v>
      </c>
      <c r="P28" s="9" t="str">
        <f aca="false">IF(G28="","",IF(INT(G28/設定!$B$5)*設定!$B$5&gt;=100000000,TEXT(INT(G28/設定!$B$5)*設定!$B$5/100000000,"0.0")&amp;"億",TEXT(INT(G28/設定!$B$5)*設定!$B$5/10000,"#,##0")&amp;"万")&amp;"〜")</f>
        <v>5,000万〜</v>
      </c>
      <c r="Q28" s="5" t="n">
        <v>30</v>
      </c>
      <c r="R28" s="12" t="s">
        <v>22</v>
      </c>
    </row>
    <row r="29" customFormat="false" ht="15" hidden="false" customHeight="false" outlineLevel="0" collapsed="false">
      <c r="A29" s="5" t="n">
        <v>31</v>
      </c>
      <c r="B29" s="6" t="s">
        <v>50</v>
      </c>
      <c r="C29" s="6" t="s">
        <v>51</v>
      </c>
      <c r="D29" s="7" t="n">
        <v>44819</v>
      </c>
      <c r="E29" s="7" t="n">
        <v>45046</v>
      </c>
      <c r="F29" s="7" t="n">
        <v>45097</v>
      </c>
      <c r="G29" s="8" t="n">
        <v>47800000</v>
      </c>
      <c r="H29" s="8"/>
      <c r="I29" s="8" t="n">
        <v>0</v>
      </c>
      <c r="J29" s="9" t="str">
        <f aca="false">IF(F29="","",IFERROR(INDEX(設定!$A$8:$A$15,MATCH(F29,設定!$B$8:$B$15,1)),"対象外"))</f>
        <v>10期</v>
      </c>
      <c r="K29" s="9" t="str">
        <f aca="false">IF(F29="","未売却",IF(F29&lt;=設定!$B$3,"実績","予定"))</f>
        <v>実績</v>
      </c>
      <c r="L29" s="9" t="n">
        <f aca="false">IF(F29="",0,IF(OR(設定!$B$4="全て",K29="実績"),1,0))</f>
        <v>1</v>
      </c>
      <c r="M29" s="10" t="str">
        <f aca="false">IF(OR(G29="",H29=""),"",G29-H29-I29)</f>
        <v/>
      </c>
      <c r="N29" s="11" t="str">
        <f aca="false">IF(M29="","",M29/G29)</f>
        <v/>
      </c>
      <c r="O29" s="10" t="n">
        <f aca="false">IF(OR(D29="",F29=""),"",F29-D29)</f>
        <v>278</v>
      </c>
      <c r="P29" s="9" t="str">
        <f aca="false">IF(G29="","",IF(INT(G29/設定!$B$5)*設定!$B$5&gt;=100000000,TEXT(INT(G29/設定!$B$5)*設定!$B$5/100000000,"0.0")&amp;"億",TEXT(INT(G29/設定!$B$5)*設定!$B$5/10000,"#,##0")&amp;"万")&amp;"〜")</f>
        <v>0万〜</v>
      </c>
      <c r="Q29" s="5" t="n">
        <v>35</v>
      </c>
      <c r="R29" s="12" t="s">
        <v>22</v>
      </c>
    </row>
    <row r="30" customFormat="false" ht="15" hidden="false" customHeight="false" outlineLevel="0" collapsed="false">
      <c r="A30" s="5" t="n">
        <v>11</v>
      </c>
      <c r="B30" s="6" t="s">
        <v>23</v>
      </c>
      <c r="C30" s="6" t="s">
        <v>52</v>
      </c>
      <c r="D30" s="7" t="n">
        <v>44830</v>
      </c>
      <c r="E30" s="7" t="n">
        <v>44940</v>
      </c>
      <c r="F30" s="7" t="n">
        <v>45107</v>
      </c>
      <c r="G30" s="8" t="n">
        <v>64900000</v>
      </c>
      <c r="H30" s="8"/>
      <c r="I30" s="8" t="n">
        <v>20000000</v>
      </c>
      <c r="J30" s="9" t="str">
        <f aca="false">IF(F30="","",IFERROR(INDEX(設定!$A$8:$A$15,MATCH(F30,設定!$B$8:$B$15,1)),"対象外"))</f>
        <v>10期</v>
      </c>
      <c r="K30" s="9" t="str">
        <f aca="false">IF(F30="","未売却",IF(F30&lt;=設定!$B$3,"実績","予定"))</f>
        <v>実績</v>
      </c>
      <c r="L30" s="9" t="n">
        <f aca="false">IF(F30="",0,IF(OR(設定!$B$4="全て",K30="実績"),1,0))</f>
        <v>1</v>
      </c>
      <c r="M30" s="10" t="str">
        <f aca="false">IF(OR(G30="",H30=""),"",G30-H30-I30)</f>
        <v/>
      </c>
      <c r="N30" s="11" t="str">
        <f aca="false">IF(M30="","",M30/G30)</f>
        <v/>
      </c>
      <c r="O30" s="10" t="n">
        <f aca="false">IF(OR(D30="",F30=""),"",F30-D30)</f>
        <v>277</v>
      </c>
      <c r="P30" s="9" t="str">
        <f aca="false">IF(G30="","",IF(INT(G30/設定!$B$5)*設定!$B$5&gt;=100000000,TEXT(INT(G30/設定!$B$5)*設定!$B$5/100000000,"0.0")&amp;"億",TEXT(INT(G30/設定!$B$5)*設定!$B$5/10000,"#,##0")&amp;"万")&amp;"〜")</f>
        <v>5,000万〜</v>
      </c>
      <c r="Q30" s="5" t="n">
        <v>15</v>
      </c>
      <c r="R30" s="12" t="s">
        <v>22</v>
      </c>
    </row>
    <row r="31" customFormat="false" ht="15" hidden="false" customHeight="false" outlineLevel="0" collapsed="false">
      <c r="A31" s="5" t="n">
        <v>32</v>
      </c>
      <c r="B31" s="6" t="s">
        <v>23</v>
      </c>
      <c r="C31" s="6" t="s">
        <v>53</v>
      </c>
      <c r="D31" s="7" t="n">
        <v>44830</v>
      </c>
      <c r="E31" s="7" t="n">
        <v>44998</v>
      </c>
      <c r="F31" s="7" t="n">
        <v>45107</v>
      </c>
      <c r="G31" s="8" t="n">
        <v>46800000</v>
      </c>
      <c r="H31" s="8"/>
      <c r="I31" s="8" t="n">
        <v>16750000</v>
      </c>
      <c r="J31" s="9" t="str">
        <f aca="false">IF(F31="","",IFERROR(INDEX(設定!$A$8:$A$15,MATCH(F31,設定!$B$8:$B$15,1)),"対象外"))</f>
        <v>10期</v>
      </c>
      <c r="K31" s="9" t="str">
        <f aca="false">IF(F31="","未売却",IF(F31&lt;=設定!$B$3,"実績","予定"))</f>
        <v>実績</v>
      </c>
      <c r="L31" s="9" t="n">
        <f aca="false">IF(F31="",0,IF(OR(設定!$B$4="全て",K31="実績"),1,0))</f>
        <v>1</v>
      </c>
      <c r="M31" s="10" t="str">
        <f aca="false">IF(OR(G31="",H31=""),"",G31-H31-I31)</f>
        <v/>
      </c>
      <c r="N31" s="11" t="str">
        <f aca="false">IF(M31="","",M31/G31)</f>
        <v/>
      </c>
      <c r="O31" s="10" t="n">
        <f aca="false">IF(OR(D31="",F31=""),"",F31-D31)</f>
        <v>277</v>
      </c>
      <c r="P31" s="9" t="str">
        <f aca="false">IF(G31="","",IF(INT(G31/設定!$B$5)*設定!$B$5&gt;=100000000,TEXT(INT(G31/設定!$B$5)*設定!$B$5/100000000,"0.0")&amp;"億",TEXT(INT(G31/設定!$B$5)*設定!$B$5/10000,"#,##0")&amp;"万")&amp;"〜")</f>
        <v>0万〜</v>
      </c>
      <c r="Q31" s="5" t="n">
        <v>36</v>
      </c>
      <c r="R31" s="12" t="s">
        <v>22</v>
      </c>
    </row>
    <row r="32" customFormat="false" ht="15" hidden="false" customHeight="false" outlineLevel="0" collapsed="false">
      <c r="A32" s="5" t="n">
        <v>33</v>
      </c>
      <c r="B32" s="6" t="s">
        <v>23</v>
      </c>
      <c r="C32" s="6" t="s">
        <v>54</v>
      </c>
      <c r="D32" s="7" t="n">
        <v>44830</v>
      </c>
      <c r="E32" s="7" t="n">
        <v>44988</v>
      </c>
      <c r="F32" s="7" t="n">
        <v>45107</v>
      </c>
      <c r="G32" s="8" t="n">
        <v>45400000</v>
      </c>
      <c r="H32" s="8"/>
      <c r="I32" s="8" t="n">
        <v>16750000</v>
      </c>
      <c r="J32" s="9" t="str">
        <f aca="false">IF(F32="","",IFERROR(INDEX(設定!$A$8:$A$15,MATCH(F32,設定!$B$8:$B$15,1)),"対象外"))</f>
        <v>10期</v>
      </c>
      <c r="K32" s="9" t="str">
        <f aca="false">IF(F32="","未売却",IF(F32&lt;=設定!$B$3,"実績","予定"))</f>
        <v>実績</v>
      </c>
      <c r="L32" s="9" t="n">
        <f aca="false">IF(F32="",0,IF(OR(設定!$B$4="全て",K32="実績"),1,0))</f>
        <v>1</v>
      </c>
      <c r="M32" s="10" t="str">
        <f aca="false">IF(OR(G32="",H32=""),"",G32-H32-I32)</f>
        <v/>
      </c>
      <c r="N32" s="11" t="str">
        <f aca="false">IF(M32="","",M32/G32)</f>
        <v/>
      </c>
      <c r="O32" s="10" t="n">
        <f aca="false">IF(OR(D32="",F32=""),"",F32-D32)</f>
        <v>277</v>
      </c>
      <c r="P32" s="9" t="str">
        <f aca="false">IF(G32="","",IF(INT(G32/設定!$B$5)*設定!$B$5&gt;=100000000,TEXT(INT(G32/設定!$B$5)*設定!$B$5/100000000,"0.0")&amp;"億",TEXT(INT(G32/設定!$B$5)*設定!$B$5/10000,"#,##0")&amp;"万")&amp;"〜")</f>
        <v>0万〜</v>
      </c>
      <c r="Q32" s="5" t="n">
        <v>37</v>
      </c>
      <c r="R32" s="12" t="s">
        <v>22</v>
      </c>
    </row>
    <row r="33" customFormat="false" ht="15" hidden="false" customHeight="false" outlineLevel="0" collapsed="false">
      <c r="A33" s="5" t="n">
        <v>34</v>
      </c>
      <c r="B33" s="6" t="s">
        <v>23</v>
      </c>
      <c r="C33" s="6" t="s">
        <v>55</v>
      </c>
      <c r="D33" s="7" t="n">
        <v>44830</v>
      </c>
      <c r="E33" s="7" t="n">
        <v>44920</v>
      </c>
      <c r="F33" s="7" t="n">
        <v>45107</v>
      </c>
      <c r="G33" s="8" t="n">
        <v>48800000</v>
      </c>
      <c r="H33" s="8"/>
      <c r="I33" s="8" t="n">
        <v>16750000</v>
      </c>
      <c r="J33" s="9" t="str">
        <f aca="false">IF(F33="","",IFERROR(INDEX(設定!$A$8:$A$15,MATCH(F33,設定!$B$8:$B$15,1)),"対象外"))</f>
        <v>10期</v>
      </c>
      <c r="K33" s="9" t="str">
        <f aca="false">IF(F33="","未売却",IF(F33&lt;=設定!$B$3,"実績","予定"))</f>
        <v>実績</v>
      </c>
      <c r="L33" s="9" t="n">
        <f aca="false">IF(F33="",0,IF(OR(設定!$B$4="全て",K33="実績"),1,0))</f>
        <v>1</v>
      </c>
      <c r="M33" s="10" t="str">
        <f aca="false">IF(OR(G33="",H33=""),"",G33-H33-I33)</f>
        <v/>
      </c>
      <c r="N33" s="11" t="str">
        <f aca="false">IF(M33="","",M33/G33)</f>
        <v/>
      </c>
      <c r="O33" s="10" t="n">
        <f aca="false">IF(OR(D33="",F33=""),"",F33-D33)</f>
        <v>277</v>
      </c>
      <c r="P33" s="9" t="str">
        <f aca="false">IF(G33="","",IF(INT(G33/設定!$B$5)*設定!$B$5&gt;=100000000,TEXT(INT(G33/設定!$B$5)*設定!$B$5/100000000,"0.0")&amp;"億",TEXT(INT(G33/設定!$B$5)*設定!$B$5/10000,"#,##0")&amp;"万")&amp;"〜")</f>
        <v>0万〜</v>
      </c>
      <c r="Q33" s="5" t="n">
        <v>38</v>
      </c>
      <c r="R33" s="12" t="s">
        <v>22</v>
      </c>
    </row>
    <row r="34" customFormat="false" ht="15" hidden="false" customHeight="false" outlineLevel="0" collapsed="false">
      <c r="A34" s="5" t="n">
        <v>42</v>
      </c>
      <c r="B34" s="6" t="s">
        <v>50</v>
      </c>
      <c r="C34" s="6" t="s">
        <v>56</v>
      </c>
      <c r="D34" s="7" t="n">
        <v>44957</v>
      </c>
      <c r="E34" s="7" t="n">
        <v>45077</v>
      </c>
      <c r="F34" s="7" t="n">
        <v>45107</v>
      </c>
      <c r="G34" s="8" t="n">
        <v>59900000</v>
      </c>
      <c r="H34" s="8" t="n">
        <v>50366400</v>
      </c>
      <c r="I34" s="8" t="n">
        <v>500000</v>
      </c>
      <c r="J34" s="9" t="str">
        <f aca="false">IF(F34="","",IFERROR(INDEX(設定!$A$8:$A$15,MATCH(F34,設定!$B$8:$B$15,1)),"対象外"))</f>
        <v>10期</v>
      </c>
      <c r="K34" s="9" t="str">
        <f aca="false">IF(F34="","未売却",IF(F34&lt;=設定!$B$3,"実績","予定"))</f>
        <v>実績</v>
      </c>
      <c r="L34" s="9" t="n">
        <f aca="false">IF(F34="",0,IF(OR(設定!$B$4="全て",K34="実績"),1,0))</f>
        <v>1</v>
      </c>
      <c r="M34" s="10" t="n">
        <f aca="false">IF(OR(G34="",H34=""),"",G34-H34-I34)</f>
        <v>9033600</v>
      </c>
      <c r="N34" s="11" t="n">
        <f aca="false">IF(M34="","",M34/G34)</f>
        <v>0.150811352253756</v>
      </c>
      <c r="O34" s="10" t="n">
        <f aca="false">IF(OR(D34="",F34=""),"",F34-D34)</f>
        <v>150</v>
      </c>
      <c r="P34" s="9" t="str">
        <f aca="false">IF(G34="","",IF(INT(G34/設定!$B$5)*設定!$B$5&gt;=100000000,TEXT(INT(G34/設定!$B$5)*設定!$B$5/100000000,"0.0")&amp;"億",TEXT(INT(G34/設定!$B$5)*設定!$B$5/10000,"#,##0")&amp;"万")&amp;"〜")</f>
        <v>5,000万〜</v>
      </c>
      <c r="Q34" s="5" t="n">
        <v>46</v>
      </c>
      <c r="R34" s="12"/>
    </row>
    <row r="35" customFormat="false" ht="15" hidden="false" customHeight="false" outlineLevel="0" collapsed="false">
      <c r="A35" s="5" t="n">
        <v>62</v>
      </c>
      <c r="B35" s="5" t="s">
        <v>20</v>
      </c>
      <c r="C35" s="6" t="s">
        <v>57</v>
      </c>
      <c r="D35" s="7" t="n">
        <v>45082</v>
      </c>
      <c r="E35" s="7" t="n">
        <v>45079</v>
      </c>
      <c r="F35" s="7" t="n">
        <v>45114</v>
      </c>
      <c r="G35" s="8" t="n">
        <v>21000000</v>
      </c>
      <c r="H35" s="8" t="n">
        <v>16000000</v>
      </c>
      <c r="I35" s="8" t="n">
        <v>0</v>
      </c>
      <c r="J35" s="9" t="str">
        <f aca="false">IF(F35="","",IFERROR(INDEX(設定!$A$8:$A$15,MATCH(F35,設定!$B$8:$B$15,1)),"対象外"))</f>
        <v>11期</v>
      </c>
      <c r="K35" s="9" t="str">
        <f aca="false">IF(F35="","未売却",IF(F35&lt;=設定!$B$3,"実績","予定"))</f>
        <v>実績</v>
      </c>
      <c r="L35" s="9" t="n">
        <f aca="false">IF(F35="",0,IF(OR(設定!$B$4="全て",K35="実績"),1,0))</f>
        <v>1</v>
      </c>
      <c r="M35" s="10" t="n">
        <f aca="false">IF(OR(G35="",H35=""),"",G35-H35-I35)</f>
        <v>5000000</v>
      </c>
      <c r="N35" s="11" t="n">
        <f aca="false">IF(M35="","",M35/G35)</f>
        <v>0.238095238095238</v>
      </c>
      <c r="O35" s="10" t="n">
        <f aca="false">IF(OR(D35="",F35=""),"",F35-D35)</f>
        <v>32</v>
      </c>
      <c r="P35" s="9" t="str">
        <f aca="false">IF(G35="","",IF(INT(G35/設定!$B$5)*設定!$B$5&gt;=100000000,TEXT(INT(G35/設定!$B$5)*設定!$B$5/100000000,"0.0")&amp;"億",TEXT(INT(G35/設定!$B$5)*設定!$B$5/10000,"#,##0")&amp;"万")&amp;"〜")</f>
        <v>0万〜</v>
      </c>
      <c r="Q35" s="5" t="n">
        <v>66</v>
      </c>
      <c r="R35" s="12"/>
    </row>
    <row r="36" customFormat="false" ht="15" hidden="false" customHeight="false" outlineLevel="0" collapsed="false">
      <c r="A36" s="5" t="n">
        <v>21</v>
      </c>
      <c r="B36" s="5" t="s">
        <v>58</v>
      </c>
      <c r="C36" s="6" t="s">
        <v>59</v>
      </c>
      <c r="D36" s="7" t="n">
        <v>44694</v>
      </c>
      <c r="E36" s="7" t="n">
        <v>45166</v>
      </c>
      <c r="F36" s="7" t="n">
        <v>45166</v>
      </c>
      <c r="G36" s="8" t="n">
        <v>39000000</v>
      </c>
      <c r="H36" s="8"/>
      <c r="I36" s="8" t="n">
        <v>0</v>
      </c>
      <c r="J36" s="9" t="str">
        <f aca="false">IF(F36="","",IFERROR(INDEX(設定!$A$8:$A$15,MATCH(F36,設定!$B$8:$B$15,1)),"対象外"))</f>
        <v>11期</v>
      </c>
      <c r="K36" s="9" t="str">
        <f aca="false">IF(F36="","未売却",IF(F36&lt;=設定!$B$3,"実績","予定"))</f>
        <v>実績</v>
      </c>
      <c r="L36" s="9" t="n">
        <f aca="false">IF(F36="",0,IF(OR(設定!$B$4="全て",K36="実績"),1,0))</f>
        <v>1</v>
      </c>
      <c r="M36" s="10" t="str">
        <f aca="false">IF(OR(G36="",H36=""),"",G36-H36-I36)</f>
        <v/>
      </c>
      <c r="N36" s="11" t="str">
        <f aca="false">IF(M36="","",M36/G36)</f>
        <v/>
      </c>
      <c r="O36" s="10" t="n">
        <f aca="false">IF(OR(D36="",F36=""),"",F36-D36)</f>
        <v>472</v>
      </c>
      <c r="P36" s="9" t="str">
        <f aca="false">IF(G36="","",IF(INT(G36/設定!$B$5)*設定!$B$5&gt;=100000000,TEXT(INT(G36/設定!$B$5)*設定!$B$5/100000000,"0.0")&amp;"億",TEXT(INT(G36/設定!$B$5)*設定!$B$5/10000,"#,##0")&amp;"万")&amp;"〜")</f>
        <v>0万〜</v>
      </c>
      <c r="Q36" s="5" t="n">
        <v>25</v>
      </c>
      <c r="R36" s="12" t="s">
        <v>22</v>
      </c>
    </row>
    <row r="37" customFormat="false" ht="15" hidden="false" customHeight="false" outlineLevel="0" collapsed="false">
      <c r="A37" s="5" t="n">
        <v>37</v>
      </c>
      <c r="B37" s="6" t="s">
        <v>42</v>
      </c>
      <c r="C37" s="6" t="s">
        <v>60</v>
      </c>
      <c r="D37" s="7" t="n">
        <v>44865</v>
      </c>
      <c r="E37" s="7" t="n">
        <v>45022</v>
      </c>
      <c r="F37" s="7" t="n">
        <v>45169</v>
      </c>
      <c r="G37" s="8" t="n">
        <v>400000000</v>
      </c>
      <c r="H37" s="8"/>
      <c r="I37" s="8" t="n">
        <v>50000000</v>
      </c>
      <c r="J37" s="9" t="str">
        <f aca="false">IF(F37="","",IFERROR(INDEX(設定!$A$8:$A$15,MATCH(F37,設定!$B$8:$B$15,1)),"対象外"))</f>
        <v>11期</v>
      </c>
      <c r="K37" s="9" t="str">
        <f aca="false">IF(F37="","未売却",IF(F37&lt;=設定!$B$3,"実績","予定"))</f>
        <v>実績</v>
      </c>
      <c r="L37" s="9" t="n">
        <f aca="false">IF(F37="",0,IF(OR(設定!$B$4="全て",K37="実績"),1,0))</f>
        <v>1</v>
      </c>
      <c r="M37" s="10" t="str">
        <f aca="false">IF(OR(G37="",H37=""),"",G37-H37-I37)</f>
        <v/>
      </c>
      <c r="N37" s="11" t="str">
        <f aca="false">IF(M37="","",M37/G37)</f>
        <v/>
      </c>
      <c r="O37" s="10" t="n">
        <f aca="false">IF(OR(D37="",F37=""),"",F37-D37)</f>
        <v>304</v>
      </c>
      <c r="P37" s="9" t="str">
        <f aca="false">IF(G37="","",IF(INT(G37/設定!$B$5)*設定!$B$5&gt;=100000000,TEXT(INT(G37/設定!$B$5)*設定!$B$5/100000000,"0.0")&amp;"億",TEXT(INT(G37/設定!$B$5)*設定!$B$5/10000,"#,##0")&amp;"万")&amp;"〜")</f>
        <v>4.0億〜</v>
      </c>
      <c r="Q37" s="5" t="n">
        <v>41</v>
      </c>
      <c r="R37" s="12" t="s">
        <v>22</v>
      </c>
    </row>
    <row r="38" customFormat="false" ht="15" hidden="false" customHeight="false" outlineLevel="0" collapsed="false">
      <c r="A38" s="5" t="n">
        <v>27</v>
      </c>
      <c r="B38" s="6" t="s">
        <v>23</v>
      </c>
      <c r="C38" s="6" t="s">
        <v>61</v>
      </c>
      <c r="D38" s="7" t="n">
        <v>44798</v>
      </c>
      <c r="E38" s="7"/>
      <c r="F38" s="7" t="n">
        <v>45194</v>
      </c>
      <c r="G38" s="8" t="n">
        <v>52800000</v>
      </c>
      <c r="H38" s="8"/>
      <c r="I38" s="8" t="n">
        <v>15000000</v>
      </c>
      <c r="J38" s="9" t="str">
        <f aca="false">IF(F38="","",IFERROR(INDEX(設定!$A$8:$A$15,MATCH(F38,設定!$B$8:$B$15,1)),"対象外"))</f>
        <v>11期</v>
      </c>
      <c r="K38" s="9" t="str">
        <f aca="false">IF(F38="","未売却",IF(F38&lt;=設定!$B$3,"実績","予定"))</f>
        <v>実績</v>
      </c>
      <c r="L38" s="9" t="n">
        <f aca="false">IF(F38="",0,IF(OR(設定!$B$4="全て",K38="実績"),1,0))</f>
        <v>1</v>
      </c>
      <c r="M38" s="10" t="str">
        <f aca="false">IF(OR(G38="",H38=""),"",G38-H38-I38)</f>
        <v/>
      </c>
      <c r="N38" s="11" t="str">
        <f aca="false">IF(M38="","",M38/G38)</f>
        <v/>
      </c>
      <c r="O38" s="10" t="n">
        <f aca="false">IF(OR(D38="",F38=""),"",F38-D38)</f>
        <v>396</v>
      </c>
      <c r="P38" s="9" t="str">
        <f aca="false">IF(G38="","",IF(INT(G38/設定!$B$5)*設定!$B$5&gt;=100000000,TEXT(INT(G38/設定!$B$5)*設定!$B$5/100000000,"0.0")&amp;"億",TEXT(INT(G38/設定!$B$5)*設定!$B$5/10000,"#,##0")&amp;"万")&amp;"〜")</f>
        <v>5,000万〜</v>
      </c>
      <c r="Q38" s="5" t="n">
        <v>31</v>
      </c>
      <c r="R38" s="12" t="s">
        <v>22</v>
      </c>
    </row>
    <row r="39" customFormat="false" ht="15" hidden="false" customHeight="false" outlineLevel="0" collapsed="false">
      <c r="A39" s="5" t="n">
        <v>28</v>
      </c>
      <c r="B39" s="6" t="s">
        <v>23</v>
      </c>
      <c r="C39" s="6" t="s">
        <v>62</v>
      </c>
      <c r="D39" s="7" t="n">
        <v>44798</v>
      </c>
      <c r="E39" s="7"/>
      <c r="F39" s="7" t="n">
        <v>45194</v>
      </c>
      <c r="G39" s="8" t="n">
        <v>54800000</v>
      </c>
      <c r="H39" s="8"/>
      <c r="I39" s="8" t="n">
        <v>15000000</v>
      </c>
      <c r="J39" s="9" t="str">
        <f aca="false">IF(F39="","",IFERROR(INDEX(設定!$A$8:$A$15,MATCH(F39,設定!$B$8:$B$15,1)),"対象外"))</f>
        <v>11期</v>
      </c>
      <c r="K39" s="9" t="str">
        <f aca="false">IF(F39="","未売却",IF(F39&lt;=設定!$B$3,"実績","予定"))</f>
        <v>実績</v>
      </c>
      <c r="L39" s="9" t="n">
        <f aca="false">IF(F39="",0,IF(OR(設定!$B$4="全て",K39="実績"),1,0))</f>
        <v>1</v>
      </c>
      <c r="M39" s="10" t="str">
        <f aca="false">IF(OR(G39="",H39=""),"",G39-H39-I39)</f>
        <v/>
      </c>
      <c r="N39" s="11" t="str">
        <f aca="false">IF(M39="","",M39/G39)</f>
        <v/>
      </c>
      <c r="O39" s="10" t="n">
        <f aca="false">IF(OR(D39="",F39=""),"",F39-D39)</f>
        <v>396</v>
      </c>
      <c r="P39" s="9" t="str">
        <f aca="false">IF(G39="","",IF(INT(G39/設定!$B$5)*設定!$B$5&gt;=100000000,TEXT(INT(G39/設定!$B$5)*設定!$B$5/100000000,"0.0")&amp;"億",TEXT(INT(G39/設定!$B$5)*設定!$B$5/10000,"#,##0")&amp;"万")&amp;"〜")</f>
        <v>5,000万〜</v>
      </c>
      <c r="Q39" s="5" t="n">
        <v>32</v>
      </c>
      <c r="R39" s="12" t="s">
        <v>22</v>
      </c>
    </row>
    <row r="40" customFormat="false" ht="15" hidden="false" customHeight="false" outlineLevel="0" collapsed="false">
      <c r="A40" s="5" t="n">
        <v>56</v>
      </c>
      <c r="B40" s="5" t="s">
        <v>20</v>
      </c>
      <c r="C40" s="6" t="s">
        <v>63</v>
      </c>
      <c r="D40" s="7" t="n">
        <v>45015</v>
      </c>
      <c r="E40" s="7" t="n">
        <v>45219</v>
      </c>
      <c r="F40" s="7" t="n">
        <v>45260</v>
      </c>
      <c r="G40" s="8" t="n">
        <v>27650000</v>
      </c>
      <c r="H40" s="8" t="n">
        <v>28550000</v>
      </c>
      <c r="I40" s="8" t="n">
        <v>7150000</v>
      </c>
      <c r="J40" s="9" t="str">
        <f aca="false">IF(F40="","",IFERROR(INDEX(設定!$A$8:$A$15,MATCH(F40,設定!$B$8:$B$15,1)),"対象外"))</f>
        <v>11期</v>
      </c>
      <c r="K40" s="9" t="str">
        <f aca="false">IF(F40="","未売却",IF(F40&lt;=設定!$B$3,"実績","予定"))</f>
        <v>実績</v>
      </c>
      <c r="L40" s="9" t="n">
        <f aca="false">IF(F40="",0,IF(OR(設定!$B$4="全て",K40="実績"),1,0))</f>
        <v>1</v>
      </c>
      <c r="M40" s="10" t="n">
        <f aca="false">IF(OR(G40="",H40=""),"",G40-H40-I40)</f>
        <v>-8050000</v>
      </c>
      <c r="N40" s="11" t="n">
        <f aca="false">IF(M40="","",M40/G40)</f>
        <v>-0.291139240506329</v>
      </c>
      <c r="O40" s="10" t="n">
        <f aca="false">IF(OR(D40="",F40=""),"",F40-D40)</f>
        <v>245</v>
      </c>
      <c r="P40" s="9" t="str">
        <f aca="false">IF(G40="","",IF(INT(G40/設定!$B$5)*設定!$B$5&gt;=100000000,TEXT(INT(G40/設定!$B$5)*設定!$B$5/100000000,"0.0")&amp;"億",TEXT(INT(G40/設定!$B$5)*設定!$B$5/10000,"#,##0")&amp;"万")&amp;"〜")</f>
        <v>0万〜</v>
      </c>
      <c r="Q40" s="5" t="n">
        <v>60</v>
      </c>
      <c r="R40" s="12" t="s">
        <v>64</v>
      </c>
    </row>
    <row r="41" customFormat="false" ht="15" hidden="false" customHeight="false" outlineLevel="0" collapsed="false">
      <c r="A41" s="5" t="n">
        <v>82</v>
      </c>
      <c r="B41" s="5" t="s">
        <v>20</v>
      </c>
      <c r="C41" s="6" t="s">
        <v>65</v>
      </c>
      <c r="D41" s="7" t="n">
        <v>45194</v>
      </c>
      <c r="E41" s="7" t="n">
        <v>45234</v>
      </c>
      <c r="F41" s="7" t="n">
        <v>45270</v>
      </c>
      <c r="G41" s="8" t="n">
        <v>19500000</v>
      </c>
      <c r="H41" s="8" t="n">
        <v>15600000</v>
      </c>
      <c r="I41" s="8" t="n">
        <v>0</v>
      </c>
      <c r="J41" s="9" t="str">
        <f aca="false">IF(F41="","",IFERROR(INDEX(設定!$A$8:$A$15,MATCH(F41,設定!$B$8:$B$15,1)),"対象外"))</f>
        <v>11期</v>
      </c>
      <c r="K41" s="9" t="str">
        <f aca="false">IF(F41="","未売却",IF(F41&lt;=設定!$B$3,"実績","予定"))</f>
        <v>実績</v>
      </c>
      <c r="L41" s="9" t="n">
        <f aca="false">IF(F41="",0,IF(OR(設定!$B$4="全て",K41="実績"),1,0))</f>
        <v>1</v>
      </c>
      <c r="M41" s="10" t="n">
        <f aca="false">IF(OR(G41="",H41=""),"",G41-H41-I41)</f>
        <v>3900000</v>
      </c>
      <c r="N41" s="11" t="n">
        <f aca="false">IF(M41="","",M41/G41)</f>
        <v>0.2</v>
      </c>
      <c r="O41" s="10" t="n">
        <f aca="false">IF(OR(D41="",F41=""),"",F41-D41)</f>
        <v>76</v>
      </c>
      <c r="P41" s="9" t="str">
        <f aca="false">IF(G41="","",IF(INT(G41/設定!$B$5)*設定!$B$5&gt;=100000000,TEXT(INT(G41/設定!$B$5)*設定!$B$5/100000000,"0.0")&amp;"億",TEXT(INT(G41/設定!$B$5)*設定!$B$5/10000,"#,##0")&amp;"万")&amp;"〜")</f>
        <v>0万〜</v>
      </c>
      <c r="Q41" s="5" t="n">
        <v>86</v>
      </c>
      <c r="R41" s="12"/>
    </row>
    <row r="42" customFormat="false" ht="15" hidden="false" customHeight="false" outlineLevel="0" collapsed="false">
      <c r="A42" s="5" t="n">
        <v>53</v>
      </c>
      <c r="B42" s="6" t="s">
        <v>23</v>
      </c>
      <c r="C42" s="6" t="s">
        <v>66</v>
      </c>
      <c r="D42" s="7" t="n">
        <v>44995</v>
      </c>
      <c r="E42" s="7" t="n">
        <v>45148</v>
      </c>
      <c r="F42" s="7" t="n">
        <v>45281</v>
      </c>
      <c r="G42" s="8" t="n">
        <v>53400000</v>
      </c>
      <c r="H42" s="8" t="n">
        <v>28750000</v>
      </c>
      <c r="I42" s="8" t="n">
        <v>18250000</v>
      </c>
      <c r="J42" s="9" t="str">
        <f aca="false">IF(F42="","",IFERROR(INDEX(設定!$A$8:$A$15,MATCH(F42,設定!$B$8:$B$15,1)),"対象外"))</f>
        <v>11期</v>
      </c>
      <c r="K42" s="9" t="str">
        <f aca="false">IF(F42="","未売却",IF(F42&lt;=設定!$B$3,"実績","予定"))</f>
        <v>実績</v>
      </c>
      <c r="L42" s="9" t="n">
        <f aca="false">IF(F42="",0,IF(OR(設定!$B$4="全て",K42="実績"),1,0))</f>
        <v>1</v>
      </c>
      <c r="M42" s="10" t="n">
        <f aca="false">IF(OR(G42="",H42=""),"",G42-H42-I42)</f>
        <v>6400000</v>
      </c>
      <c r="N42" s="11" t="n">
        <f aca="false">IF(M42="","",M42/G42)</f>
        <v>0.119850187265918</v>
      </c>
      <c r="O42" s="10" t="n">
        <f aca="false">IF(OR(D42="",F42=""),"",F42-D42)</f>
        <v>286</v>
      </c>
      <c r="P42" s="9" t="str">
        <f aca="false">IF(G42="","",IF(INT(G42/設定!$B$5)*設定!$B$5&gt;=100000000,TEXT(INT(G42/設定!$B$5)*設定!$B$5/100000000,"0.0")&amp;"億",TEXT(INT(G42/設定!$B$5)*設定!$B$5/10000,"#,##0")&amp;"万")&amp;"〜")</f>
        <v>5,000万〜</v>
      </c>
      <c r="Q42" s="5" t="n">
        <v>57</v>
      </c>
      <c r="R42" s="12"/>
    </row>
    <row r="43" customFormat="false" ht="15" hidden="false" customHeight="false" outlineLevel="0" collapsed="false">
      <c r="A43" s="5" t="n">
        <v>58</v>
      </c>
      <c r="B43" s="6" t="s">
        <v>26</v>
      </c>
      <c r="C43" s="6" t="s">
        <v>67</v>
      </c>
      <c r="D43" s="7" t="n">
        <v>45076</v>
      </c>
      <c r="E43" s="7" t="n">
        <v>45262</v>
      </c>
      <c r="F43" s="7" t="n">
        <v>45286</v>
      </c>
      <c r="G43" s="8" t="n">
        <v>82800000</v>
      </c>
      <c r="H43" s="8" t="n">
        <v>60800000</v>
      </c>
      <c r="I43" s="8" t="n">
        <v>5300000</v>
      </c>
      <c r="J43" s="9" t="str">
        <f aca="false">IF(F43="","",IFERROR(INDEX(設定!$A$8:$A$15,MATCH(F43,設定!$B$8:$B$15,1)),"対象外"))</f>
        <v>11期</v>
      </c>
      <c r="K43" s="9" t="str">
        <f aca="false">IF(F43="","未売却",IF(F43&lt;=設定!$B$3,"実績","予定"))</f>
        <v>実績</v>
      </c>
      <c r="L43" s="9" t="n">
        <f aca="false">IF(F43="",0,IF(OR(設定!$B$4="全て",K43="実績"),1,0))</f>
        <v>1</v>
      </c>
      <c r="M43" s="10" t="n">
        <f aca="false">IF(OR(G43="",H43=""),"",G43-H43-I43)</f>
        <v>16700000</v>
      </c>
      <c r="N43" s="11" t="n">
        <f aca="false">IF(M43="","",M43/G43)</f>
        <v>0.201690821256039</v>
      </c>
      <c r="O43" s="10" t="n">
        <f aca="false">IF(OR(D43="",F43=""),"",F43-D43)</f>
        <v>210</v>
      </c>
      <c r="P43" s="9" t="str">
        <f aca="false">IF(G43="","",IF(INT(G43/設定!$B$5)*設定!$B$5&gt;=100000000,TEXT(INT(G43/設定!$B$5)*設定!$B$5/100000000,"0.0")&amp;"億",TEXT(INT(G43/設定!$B$5)*設定!$B$5/10000,"#,##0")&amp;"万")&amp;"〜")</f>
        <v>5,000万〜</v>
      </c>
      <c r="Q43" s="5" t="n">
        <v>62</v>
      </c>
      <c r="R43" s="12"/>
    </row>
    <row r="44" customFormat="false" ht="15" hidden="false" customHeight="false" outlineLevel="0" collapsed="false">
      <c r="A44" s="5" t="n">
        <v>77</v>
      </c>
      <c r="B44" s="6" t="s">
        <v>26</v>
      </c>
      <c r="C44" s="6" t="s">
        <v>68</v>
      </c>
      <c r="D44" s="7" t="n">
        <v>45134</v>
      </c>
      <c r="E44" s="7" t="n">
        <v>45249</v>
      </c>
      <c r="F44" s="7" t="n">
        <v>45286</v>
      </c>
      <c r="G44" s="8" t="n">
        <v>42800000</v>
      </c>
      <c r="H44" s="8" t="n">
        <v>31000000</v>
      </c>
      <c r="I44" s="8" t="n">
        <v>7950000</v>
      </c>
      <c r="J44" s="9" t="str">
        <f aca="false">IF(F44="","",IFERROR(INDEX(設定!$A$8:$A$15,MATCH(F44,設定!$B$8:$B$15,1)),"対象外"))</f>
        <v>11期</v>
      </c>
      <c r="K44" s="9" t="str">
        <f aca="false">IF(F44="","未売却",IF(F44&lt;=設定!$B$3,"実績","予定"))</f>
        <v>実績</v>
      </c>
      <c r="L44" s="9" t="n">
        <f aca="false">IF(F44="",0,IF(OR(設定!$B$4="全て",K44="実績"),1,0))</f>
        <v>1</v>
      </c>
      <c r="M44" s="10" t="n">
        <f aca="false">IF(OR(G44="",H44=""),"",G44-H44-I44)</f>
        <v>3850000</v>
      </c>
      <c r="N44" s="11" t="n">
        <f aca="false">IF(M44="","",M44/G44)</f>
        <v>0.0899532710280374</v>
      </c>
      <c r="O44" s="10" t="n">
        <f aca="false">IF(OR(D44="",F44=""),"",F44-D44)</f>
        <v>152</v>
      </c>
      <c r="P44" s="9" t="str">
        <f aca="false">IF(G44="","",IF(INT(G44/設定!$B$5)*設定!$B$5&gt;=100000000,TEXT(INT(G44/設定!$B$5)*設定!$B$5/100000000,"0.0")&amp;"億",TEXT(INT(G44/設定!$B$5)*設定!$B$5/10000,"#,##0")&amp;"万")&amp;"〜")</f>
        <v>0万〜</v>
      </c>
      <c r="Q44" s="5" t="n">
        <v>81</v>
      </c>
      <c r="R44" s="12"/>
    </row>
    <row r="45" customFormat="false" ht="15" hidden="false" customHeight="false" outlineLevel="0" collapsed="false">
      <c r="A45" s="5" t="n">
        <v>67</v>
      </c>
      <c r="B45" s="6" t="s">
        <v>69</v>
      </c>
      <c r="C45" s="6" t="s">
        <v>70</v>
      </c>
      <c r="D45" s="7" t="n">
        <v>45076</v>
      </c>
      <c r="E45" s="7" t="n">
        <v>45278</v>
      </c>
      <c r="F45" s="7" t="n">
        <v>45313</v>
      </c>
      <c r="G45" s="8" t="n">
        <v>56500000</v>
      </c>
      <c r="H45" s="8" t="n">
        <v>34400000</v>
      </c>
      <c r="I45" s="8" t="n">
        <v>7000000</v>
      </c>
      <c r="J45" s="9" t="str">
        <f aca="false">IF(F45="","",IFERROR(INDEX(設定!$A$8:$A$15,MATCH(F45,設定!$B$8:$B$15,1)),"対象外"))</f>
        <v>11期</v>
      </c>
      <c r="K45" s="9" t="str">
        <f aca="false">IF(F45="","未売却",IF(F45&lt;=設定!$B$3,"実績","予定"))</f>
        <v>実績</v>
      </c>
      <c r="L45" s="9" t="n">
        <f aca="false">IF(F45="",0,IF(OR(設定!$B$4="全て",K45="実績"),1,0))</f>
        <v>1</v>
      </c>
      <c r="M45" s="10" t="n">
        <f aca="false">IF(OR(G45="",H45=""),"",G45-H45-I45)</f>
        <v>15100000</v>
      </c>
      <c r="N45" s="11" t="n">
        <f aca="false">IF(M45="","",M45/G45)</f>
        <v>0.267256637168142</v>
      </c>
      <c r="O45" s="10" t="n">
        <f aca="false">IF(OR(D45="",F45=""),"",F45-D45)</f>
        <v>237</v>
      </c>
      <c r="P45" s="9" t="str">
        <f aca="false">IF(G45="","",IF(INT(G45/設定!$B$5)*設定!$B$5&gt;=100000000,TEXT(INT(G45/設定!$B$5)*設定!$B$5/100000000,"0.0")&amp;"億",TEXT(INT(G45/設定!$B$5)*設定!$B$5/10000,"#,##0")&amp;"万")&amp;"〜")</f>
        <v>5,000万〜</v>
      </c>
      <c r="Q45" s="5" t="n">
        <v>71</v>
      </c>
      <c r="R45" s="12"/>
    </row>
    <row r="46" customFormat="false" ht="15" hidden="false" customHeight="false" outlineLevel="0" collapsed="false">
      <c r="A46" s="5" t="n">
        <v>52</v>
      </c>
      <c r="B46" s="6" t="s">
        <v>23</v>
      </c>
      <c r="C46" s="6" t="s">
        <v>71</v>
      </c>
      <c r="D46" s="7" t="n">
        <v>44995</v>
      </c>
      <c r="E46" s="7" t="n">
        <v>45278</v>
      </c>
      <c r="F46" s="7" t="n">
        <v>45322</v>
      </c>
      <c r="G46" s="8" t="n">
        <v>50000000</v>
      </c>
      <c r="H46" s="8" t="n">
        <v>28750000</v>
      </c>
      <c r="I46" s="8" t="n">
        <v>18250000</v>
      </c>
      <c r="J46" s="9" t="str">
        <f aca="false">IF(F46="","",IFERROR(INDEX(設定!$A$8:$A$15,MATCH(F46,設定!$B$8:$B$15,1)),"対象外"))</f>
        <v>11期</v>
      </c>
      <c r="K46" s="9" t="str">
        <f aca="false">IF(F46="","未売却",IF(F46&lt;=設定!$B$3,"実績","予定"))</f>
        <v>実績</v>
      </c>
      <c r="L46" s="9" t="n">
        <f aca="false">IF(F46="",0,IF(OR(設定!$B$4="全て",K46="実績"),1,0))</f>
        <v>1</v>
      </c>
      <c r="M46" s="10" t="n">
        <f aca="false">IF(OR(G46="",H46=""),"",G46-H46-I46)</f>
        <v>3000000</v>
      </c>
      <c r="N46" s="11" t="n">
        <f aca="false">IF(M46="","",M46/G46)</f>
        <v>0.06</v>
      </c>
      <c r="O46" s="10" t="n">
        <f aca="false">IF(OR(D46="",F46=""),"",F46-D46)</f>
        <v>327</v>
      </c>
      <c r="P46" s="9" t="str">
        <f aca="false">IF(G46="","",IF(INT(G46/設定!$B$5)*設定!$B$5&gt;=100000000,TEXT(INT(G46/設定!$B$5)*設定!$B$5/100000000,"0.0")&amp;"億",TEXT(INT(G46/設定!$B$5)*設定!$B$5/10000,"#,##0")&amp;"万")&amp;"〜")</f>
        <v>5,000万〜</v>
      </c>
      <c r="Q46" s="5" t="n">
        <v>56</v>
      </c>
      <c r="R46" s="12"/>
    </row>
    <row r="47" customFormat="false" ht="15" hidden="false" customHeight="false" outlineLevel="0" collapsed="false">
      <c r="A47" s="5" t="n">
        <v>55</v>
      </c>
      <c r="B47" s="6" t="s">
        <v>23</v>
      </c>
      <c r="C47" s="6" t="s">
        <v>72</v>
      </c>
      <c r="D47" s="7" t="n">
        <v>44995</v>
      </c>
      <c r="E47" s="7" t="n">
        <v>45304</v>
      </c>
      <c r="F47" s="7" t="n">
        <v>45337</v>
      </c>
      <c r="G47" s="8" t="n">
        <v>52900000</v>
      </c>
      <c r="H47" s="8" t="n">
        <v>28750000</v>
      </c>
      <c r="I47" s="8" t="n">
        <v>18250000</v>
      </c>
      <c r="J47" s="9" t="str">
        <f aca="false">IF(F47="","",IFERROR(INDEX(設定!$A$8:$A$15,MATCH(F47,設定!$B$8:$B$15,1)),"対象外"))</f>
        <v>11期</v>
      </c>
      <c r="K47" s="9" t="str">
        <f aca="false">IF(F47="","未売却",IF(F47&lt;=設定!$B$3,"実績","予定"))</f>
        <v>実績</v>
      </c>
      <c r="L47" s="9" t="n">
        <f aca="false">IF(F47="",0,IF(OR(設定!$B$4="全て",K47="実績"),1,0))</f>
        <v>1</v>
      </c>
      <c r="M47" s="10" t="n">
        <f aca="false">IF(OR(G47="",H47=""),"",G47-H47-I47)</f>
        <v>5900000</v>
      </c>
      <c r="N47" s="11" t="n">
        <f aca="false">IF(M47="","",M47/G47)</f>
        <v>0.111531190926276</v>
      </c>
      <c r="O47" s="10" t="n">
        <f aca="false">IF(OR(D47="",F47=""),"",F47-D47)</f>
        <v>342</v>
      </c>
      <c r="P47" s="9" t="str">
        <f aca="false">IF(G47="","",IF(INT(G47/設定!$B$5)*設定!$B$5&gt;=100000000,TEXT(INT(G47/設定!$B$5)*設定!$B$5/100000000,"0.0")&amp;"億",TEXT(INT(G47/設定!$B$5)*設定!$B$5/10000,"#,##0")&amp;"万")&amp;"〜")</f>
        <v>5,000万〜</v>
      </c>
      <c r="Q47" s="5" t="n">
        <v>59</v>
      </c>
      <c r="R47" s="12"/>
    </row>
    <row r="48" customFormat="false" ht="15" hidden="false" customHeight="false" outlineLevel="0" collapsed="false">
      <c r="A48" s="5" t="n">
        <v>54</v>
      </c>
      <c r="B48" s="6" t="s">
        <v>23</v>
      </c>
      <c r="C48" s="6" t="s">
        <v>73</v>
      </c>
      <c r="D48" s="7" t="n">
        <v>44995</v>
      </c>
      <c r="E48" s="7" t="n">
        <v>45303</v>
      </c>
      <c r="F48" s="7" t="n">
        <v>45340</v>
      </c>
      <c r="G48" s="8" t="n">
        <v>49900000</v>
      </c>
      <c r="H48" s="8" t="n">
        <v>28750000</v>
      </c>
      <c r="I48" s="8" t="n">
        <v>18250000</v>
      </c>
      <c r="J48" s="9" t="str">
        <f aca="false">IF(F48="","",IFERROR(INDEX(設定!$A$8:$A$15,MATCH(F48,設定!$B$8:$B$15,1)),"対象外"))</f>
        <v>11期</v>
      </c>
      <c r="K48" s="9" t="str">
        <f aca="false">IF(F48="","未売却",IF(F48&lt;=設定!$B$3,"実績","予定"))</f>
        <v>実績</v>
      </c>
      <c r="L48" s="9" t="n">
        <f aca="false">IF(F48="",0,IF(OR(設定!$B$4="全て",K48="実績"),1,0))</f>
        <v>1</v>
      </c>
      <c r="M48" s="10" t="n">
        <f aca="false">IF(OR(G48="",H48=""),"",G48-H48-I48)</f>
        <v>2900000</v>
      </c>
      <c r="N48" s="11" t="n">
        <f aca="false">IF(M48="","",M48/G48)</f>
        <v>0.0581162324649299</v>
      </c>
      <c r="O48" s="10" t="n">
        <f aca="false">IF(OR(D48="",F48=""),"",F48-D48)</f>
        <v>345</v>
      </c>
      <c r="P48" s="9" t="str">
        <f aca="false">IF(G48="","",IF(INT(G48/設定!$B$5)*設定!$B$5&gt;=100000000,TEXT(INT(G48/設定!$B$5)*設定!$B$5/100000000,"0.0")&amp;"億",TEXT(INT(G48/設定!$B$5)*設定!$B$5/10000,"#,##0")&amp;"万")&amp;"〜")</f>
        <v>0万〜</v>
      </c>
      <c r="Q48" s="5" t="n">
        <v>58</v>
      </c>
      <c r="R48" s="12"/>
    </row>
    <row r="49" customFormat="false" ht="15" hidden="false" customHeight="false" outlineLevel="0" collapsed="false">
      <c r="A49" s="5" t="n">
        <v>57</v>
      </c>
      <c r="B49" s="5" t="s">
        <v>20</v>
      </c>
      <c r="C49" s="6" t="s">
        <v>74</v>
      </c>
      <c r="D49" s="7" t="n">
        <v>45026</v>
      </c>
      <c r="E49" s="7" t="n">
        <v>45309</v>
      </c>
      <c r="F49" s="7" t="n">
        <v>45350</v>
      </c>
      <c r="G49" s="8" t="n">
        <v>91400000</v>
      </c>
      <c r="H49" s="8" t="n">
        <v>75600000</v>
      </c>
      <c r="I49" s="8" t="n">
        <v>10200000</v>
      </c>
      <c r="J49" s="9" t="str">
        <f aca="false">IF(F49="","",IFERROR(INDEX(設定!$A$8:$A$15,MATCH(F49,設定!$B$8:$B$15,1)),"対象外"))</f>
        <v>11期</v>
      </c>
      <c r="K49" s="9" t="str">
        <f aca="false">IF(F49="","未売却",IF(F49&lt;=設定!$B$3,"実績","予定"))</f>
        <v>実績</v>
      </c>
      <c r="L49" s="9" t="n">
        <f aca="false">IF(F49="",0,IF(OR(設定!$B$4="全て",K49="実績"),1,0))</f>
        <v>1</v>
      </c>
      <c r="M49" s="10" t="n">
        <f aca="false">IF(OR(G49="",H49=""),"",G49-H49-I49)</f>
        <v>5600000</v>
      </c>
      <c r="N49" s="11" t="n">
        <f aca="false">IF(M49="","",M49/G49)</f>
        <v>0.0612691466083151</v>
      </c>
      <c r="O49" s="10" t="n">
        <f aca="false">IF(OR(D49="",F49=""),"",F49-D49)</f>
        <v>324</v>
      </c>
      <c r="P49" s="9" t="str">
        <f aca="false">IF(G49="","",IF(INT(G49/設定!$B$5)*設定!$B$5&gt;=100000000,TEXT(INT(G49/設定!$B$5)*設定!$B$5/100000000,"0.0")&amp;"億",TEXT(INT(G49/設定!$B$5)*設定!$B$5/10000,"#,##0")&amp;"万")&amp;"〜")</f>
        <v>5,000万〜</v>
      </c>
      <c r="Q49" s="5" t="n">
        <v>61</v>
      </c>
      <c r="R49" s="12"/>
    </row>
    <row r="50" customFormat="false" ht="15" hidden="false" customHeight="false" outlineLevel="0" collapsed="false">
      <c r="A50" s="5" t="n">
        <v>63</v>
      </c>
      <c r="B50" s="6" t="s">
        <v>23</v>
      </c>
      <c r="C50" s="6" t="s">
        <v>75</v>
      </c>
      <c r="D50" s="7" t="n">
        <v>45104</v>
      </c>
      <c r="E50" s="7" t="n">
        <v>45283</v>
      </c>
      <c r="F50" s="7" t="n">
        <v>45350</v>
      </c>
      <c r="G50" s="8" t="n">
        <v>49800000</v>
      </c>
      <c r="H50" s="8" t="n">
        <v>35866666</v>
      </c>
      <c r="I50" s="8" t="n">
        <v>5100000</v>
      </c>
      <c r="J50" s="9" t="str">
        <f aca="false">IF(F50="","",IFERROR(INDEX(設定!$A$8:$A$15,MATCH(F50,設定!$B$8:$B$15,1)),"対象外"))</f>
        <v>11期</v>
      </c>
      <c r="K50" s="9" t="str">
        <f aca="false">IF(F50="","未売却",IF(F50&lt;=設定!$B$3,"実績","予定"))</f>
        <v>実績</v>
      </c>
      <c r="L50" s="9" t="n">
        <f aca="false">IF(F50="",0,IF(OR(設定!$B$4="全て",K50="実績"),1,0))</f>
        <v>1</v>
      </c>
      <c r="M50" s="10" t="n">
        <f aca="false">IF(OR(G50="",H50=""),"",G50-H50-I50)</f>
        <v>8833334</v>
      </c>
      <c r="N50" s="11" t="n">
        <f aca="false">IF(M50="","",M50/G50)</f>
        <v>0.177376184738956</v>
      </c>
      <c r="O50" s="10" t="n">
        <f aca="false">IF(OR(D50="",F50=""),"",F50-D50)</f>
        <v>246</v>
      </c>
      <c r="P50" s="9" t="str">
        <f aca="false">IF(G50="","",IF(INT(G50/設定!$B$5)*設定!$B$5&gt;=100000000,TEXT(INT(G50/設定!$B$5)*設定!$B$5/100000000,"0.0")&amp;"億",TEXT(INT(G50/設定!$B$5)*設定!$B$5/10000,"#,##0")&amp;"万")&amp;"〜")</f>
        <v>0万〜</v>
      </c>
      <c r="Q50" s="5" t="n">
        <v>67</v>
      </c>
      <c r="R50" s="12"/>
    </row>
    <row r="51" customFormat="false" ht="15" hidden="false" customHeight="false" outlineLevel="0" collapsed="false">
      <c r="A51" s="5" t="n">
        <v>65</v>
      </c>
      <c r="B51" s="6" t="s">
        <v>23</v>
      </c>
      <c r="C51" s="6" t="s">
        <v>76</v>
      </c>
      <c r="D51" s="7" t="n">
        <v>45104</v>
      </c>
      <c r="E51" s="7" t="n">
        <v>45270</v>
      </c>
      <c r="F51" s="7" t="n">
        <v>45350</v>
      </c>
      <c r="G51" s="8" t="n">
        <v>49800000</v>
      </c>
      <c r="H51" s="8" t="n">
        <v>35866668</v>
      </c>
      <c r="I51" s="8" t="n">
        <v>5100000</v>
      </c>
      <c r="J51" s="9" t="str">
        <f aca="false">IF(F51="","",IFERROR(INDEX(設定!$A$8:$A$15,MATCH(F51,設定!$B$8:$B$15,1)),"対象外"))</f>
        <v>11期</v>
      </c>
      <c r="K51" s="9" t="str">
        <f aca="false">IF(F51="","未売却",IF(F51&lt;=設定!$B$3,"実績","予定"))</f>
        <v>実績</v>
      </c>
      <c r="L51" s="9" t="n">
        <f aca="false">IF(F51="",0,IF(OR(設定!$B$4="全て",K51="実績"),1,0))</f>
        <v>1</v>
      </c>
      <c r="M51" s="10" t="n">
        <f aca="false">IF(OR(G51="",H51=""),"",G51-H51-I51)</f>
        <v>8833332</v>
      </c>
      <c r="N51" s="11" t="n">
        <f aca="false">IF(M51="","",M51/G51)</f>
        <v>0.177376144578313</v>
      </c>
      <c r="O51" s="10" t="n">
        <f aca="false">IF(OR(D51="",F51=""),"",F51-D51)</f>
        <v>246</v>
      </c>
      <c r="P51" s="9" t="str">
        <f aca="false">IF(G51="","",IF(INT(G51/設定!$B$5)*設定!$B$5&gt;=100000000,TEXT(INT(G51/設定!$B$5)*設定!$B$5/100000000,"0.0")&amp;"億",TEXT(INT(G51/設定!$B$5)*設定!$B$5/10000,"#,##0")&amp;"万")&amp;"〜")</f>
        <v>0万〜</v>
      </c>
      <c r="Q51" s="5" t="n">
        <v>69</v>
      </c>
      <c r="R51" s="12"/>
    </row>
    <row r="52" customFormat="false" ht="15" hidden="false" customHeight="false" outlineLevel="0" collapsed="false">
      <c r="A52" s="5" t="n">
        <v>66</v>
      </c>
      <c r="B52" s="6" t="s">
        <v>69</v>
      </c>
      <c r="C52" s="6" t="s">
        <v>77</v>
      </c>
      <c r="D52" s="7" t="n">
        <v>45107</v>
      </c>
      <c r="E52" s="7" t="n">
        <v>45230</v>
      </c>
      <c r="F52" s="7" t="n">
        <v>45350</v>
      </c>
      <c r="G52" s="8" t="n">
        <v>117000000</v>
      </c>
      <c r="H52" s="8" t="n">
        <v>74600000</v>
      </c>
      <c r="I52" s="8" t="n">
        <v>24000000</v>
      </c>
      <c r="J52" s="9" t="str">
        <f aca="false">IF(F52="","",IFERROR(INDEX(設定!$A$8:$A$15,MATCH(F52,設定!$B$8:$B$15,1)),"対象外"))</f>
        <v>11期</v>
      </c>
      <c r="K52" s="9" t="str">
        <f aca="false">IF(F52="","未売却",IF(F52&lt;=設定!$B$3,"実績","予定"))</f>
        <v>実績</v>
      </c>
      <c r="L52" s="9" t="n">
        <f aca="false">IF(F52="",0,IF(OR(設定!$B$4="全て",K52="実績"),1,0))</f>
        <v>1</v>
      </c>
      <c r="M52" s="10" t="n">
        <f aca="false">IF(OR(G52="",H52=""),"",G52-H52-I52)</f>
        <v>18400000</v>
      </c>
      <c r="N52" s="11" t="n">
        <f aca="false">IF(M52="","",M52/G52)</f>
        <v>0.157264957264957</v>
      </c>
      <c r="O52" s="10" t="n">
        <f aca="false">IF(OR(D52="",F52=""),"",F52-D52)</f>
        <v>243</v>
      </c>
      <c r="P52" s="9" t="str">
        <f aca="false">IF(G52="","",IF(INT(G52/設定!$B$5)*設定!$B$5&gt;=100000000,TEXT(INT(G52/設定!$B$5)*設定!$B$5/100000000,"0.0")&amp;"億",TEXT(INT(G52/設定!$B$5)*設定!$B$5/10000,"#,##0")&amp;"万")&amp;"〜")</f>
        <v>1.0億〜</v>
      </c>
      <c r="Q52" s="5" t="n">
        <v>70</v>
      </c>
      <c r="R52" s="12"/>
    </row>
    <row r="53" customFormat="false" ht="15" hidden="false" customHeight="false" outlineLevel="0" collapsed="false">
      <c r="A53" s="5" t="n">
        <v>64</v>
      </c>
      <c r="B53" s="6" t="s">
        <v>23</v>
      </c>
      <c r="C53" s="6" t="s">
        <v>78</v>
      </c>
      <c r="D53" s="7" t="n">
        <v>45104</v>
      </c>
      <c r="E53" s="7" t="n">
        <v>45333</v>
      </c>
      <c r="F53" s="7" t="n">
        <v>45371</v>
      </c>
      <c r="G53" s="8" t="n">
        <v>49800000</v>
      </c>
      <c r="H53" s="8" t="n">
        <v>35866666</v>
      </c>
      <c r="I53" s="8" t="n">
        <v>5100000</v>
      </c>
      <c r="J53" s="9" t="str">
        <f aca="false">IF(F53="","",IFERROR(INDEX(設定!$A$8:$A$15,MATCH(F53,設定!$B$8:$B$15,1)),"対象外"))</f>
        <v>11期</v>
      </c>
      <c r="K53" s="9" t="str">
        <f aca="false">IF(F53="","未売却",IF(F53&lt;=設定!$B$3,"実績","予定"))</f>
        <v>実績</v>
      </c>
      <c r="L53" s="9" t="n">
        <f aca="false">IF(F53="",0,IF(OR(設定!$B$4="全て",K53="実績"),1,0))</f>
        <v>1</v>
      </c>
      <c r="M53" s="10" t="n">
        <f aca="false">IF(OR(G53="",H53=""),"",G53-H53-I53)</f>
        <v>8833334</v>
      </c>
      <c r="N53" s="11" t="n">
        <f aca="false">IF(M53="","",M53/G53)</f>
        <v>0.177376184738956</v>
      </c>
      <c r="O53" s="10" t="n">
        <f aca="false">IF(OR(D53="",F53=""),"",F53-D53)</f>
        <v>267</v>
      </c>
      <c r="P53" s="9" t="str">
        <f aca="false">IF(G53="","",IF(INT(G53/設定!$B$5)*設定!$B$5&gt;=100000000,TEXT(INT(G53/設定!$B$5)*設定!$B$5/100000000,"0.0")&amp;"億",TEXT(INT(G53/設定!$B$5)*設定!$B$5/10000,"#,##0")&amp;"万")&amp;"〜")</f>
        <v>0万〜</v>
      </c>
      <c r="Q53" s="5" t="n">
        <v>68</v>
      </c>
      <c r="R53" s="12"/>
    </row>
    <row r="54" customFormat="false" ht="15" hidden="false" customHeight="false" outlineLevel="0" collapsed="false">
      <c r="A54" s="5" t="n">
        <v>68</v>
      </c>
      <c r="B54" s="6" t="s">
        <v>26</v>
      </c>
      <c r="C54" s="6" t="s">
        <v>79</v>
      </c>
      <c r="D54" s="7" t="n">
        <v>45040</v>
      </c>
      <c r="E54" s="7" t="n">
        <v>45333</v>
      </c>
      <c r="F54" s="7" t="n">
        <v>45382</v>
      </c>
      <c r="G54" s="8" t="n">
        <v>37200000</v>
      </c>
      <c r="H54" s="8" t="n">
        <v>29900000</v>
      </c>
      <c r="I54" s="8" t="n">
        <v>4350000</v>
      </c>
      <c r="J54" s="9" t="str">
        <f aca="false">IF(F54="","",IFERROR(INDEX(設定!$A$8:$A$15,MATCH(F54,設定!$B$8:$B$15,1)),"対象外"))</f>
        <v>11期</v>
      </c>
      <c r="K54" s="9" t="str">
        <f aca="false">IF(F54="","未売却",IF(F54&lt;=設定!$B$3,"実績","予定"))</f>
        <v>実績</v>
      </c>
      <c r="L54" s="9" t="n">
        <f aca="false">IF(F54="",0,IF(OR(設定!$B$4="全て",K54="実績"),1,0))</f>
        <v>1</v>
      </c>
      <c r="M54" s="10" t="n">
        <f aca="false">IF(OR(G54="",H54=""),"",G54-H54-I54)</f>
        <v>2950000</v>
      </c>
      <c r="N54" s="11" t="n">
        <f aca="false">IF(M54="","",M54/G54)</f>
        <v>0.0793010752688172</v>
      </c>
      <c r="O54" s="10" t="n">
        <f aca="false">IF(OR(D54="",F54=""),"",F54-D54)</f>
        <v>342</v>
      </c>
      <c r="P54" s="9" t="str">
        <f aca="false">IF(G54="","",IF(INT(G54/設定!$B$5)*設定!$B$5&gt;=100000000,TEXT(INT(G54/設定!$B$5)*設定!$B$5/100000000,"0.0")&amp;"億",TEXT(INT(G54/設定!$B$5)*設定!$B$5/10000,"#,##0")&amp;"万")&amp;"〜")</f>
        <v>0万〜</v>
      </c>
      <c r="Q54" s="5" t="n">
        <v>72</v>
      </c>
      <c r="R54" s="12"/>
    </row>
    <row r="55" customFormat="false" ht="15" hidden="false" customHeight="false" outlineLevel="0" collapsed="false">
      <c r="A55" s="5" t="n">
        <v>49</v>
      </c>
      <c r="B55" s="6" t="s">
        <v>23</v>
      </c>
      <c r="C55" s="6" t="s">
        <v>80</v>
      </c>
      <c r="D55" s="7" t="n">
        <v>45016</v>
      </c>
      <c r="E55" s="7" t="n">
        <v>45352</v>
      </c>
      <c r="F55" s="7" t="n">
        <v>45392</v>
      </c>
      <c r="G55" s="8" t="n">
        <v>49700000</v>
      </c>
      <c r="H55" s="8" t="n">
        <v>28950000</v>
      </c>
      <c r="I55" s="8" t="n">
        <v>20200000</v>
      </c>
      <c r="J55" s="9" t="str">
        <f aca="false">IF(F55="","",IFERROR(INDEX(設定!$A$8:$A$15,MATCH(F55,設定!$B$8:$B$15,1)),"対象外"))</f>
        <v>11期</v>
      </c>
      <c r="K55" s="9" t="str">
        <f aca="false">IF(F55="","未売却",IF(F55&lt;=設定!$B$3,"実績","予定"))</f>
        <v>実績</v>
      </c>
      <c r="L55" s="9" t="n">
        <f aca="false">IF(F55="",0,IF(OR(設定!$B$4="全て",K55="実績"),1,0))</f>
        <v>1</v>
      </c>
      <c r="M55" s="10" t="n">
        <f aca="false">IF(OR(G55="",H55=""),"",G55-H55-I55)</f>
        <v>550000</v>
      </c>
      <c r="N55" s="11" t="n">
        <f aca="false">IF(M55="","",M55/G55)</f>
        <v>0.0110663983903421</v>
      </c>
      <c r="O55" s="10" t="n">
        <f aca="false">IF(OR(D55="",F55=""),"",F55-D55)</f>
        <v>376</v>
      </c>
      <c r="P55" s="9" t="str">
        <f aca="false">IF(G55="","",IF(INT(G55/設定!$B$5)*設定!$B$5&gt;=100000000,TEXT(INT(G55/設定!$B$5)*設定!$B$5/100000000,"0.0")&amp;"億",TEXT(INT(G55/設定!$B$5)*設定!$B$5/10000,"#,##0")&amp;"万")&amp;"〜")</f>
        <v>0万〜</v>
      </c>
      <c r="Q55" s="5" t="n">
        <v>53</v>
      </c>
      <c r="R55" s="12"/>
    </row>
    <row r="56" customFormat="false" ht="15" hidden="false" customHeight="false" outlineLevel="0" collapsed="false">
      <c r="A56" s="5" t="n">
        <v>48</v>
      </c>
      <c r="B56" s="6" t="s">
        <v>23</v>
      </c>
      <c r="C56" s="6" t="s">
        <v>81</v>
      </c>
      <c r="D56" s="7" t="n">
        <v>45016</v>
      </c>
      <c r="E56" s="7" t="n">
        <v>45363</v>
      </c>
      <c r="F56" s="7" t="n">
        <v>45394</v>
      </c>
      <c r="G56" s="8" t="n">
        <v>50900000</v>
      </c>
      <c r="H56" s="8" t="n">
        <v>28950000</v>
      </c>
      <c r="I56" s="8" t="n">
        <v>20200000</v>
      </c>
      <c r="J56" s="9" t="str">
        <f aca="false">IF(F56="","",IFERROR(INDEX(設定!$A$8:$A$15,MATCH(F56,設定!$B$8:$B$15,1)),"対象外"))</f>
        <v>11期</v>
      </c>
      <c r="K56" s="9" t="str">
        <f aca="false">IF(F56="","未売却",IF(F56&lt;=設定!$B$3,"実績","予定"))</f>
        <v>実績</v>
      </c>
      <c r="L56" s="9" t="n">
        <f aca="false">IF(F56="",0,IF(OR(設定!$B$4="全て",K56="実績"),1,0))</f>
        <v>1</v>
      </c>
      <c r="M56" s="10" t="n">
        <f aca="false">IF(OR(G56="",H56=""),"",G56-H56-I56)</f>
        <v>1750000</v>
      </c>
      <c r="N56" s="11" t="n">
        <f aca="false">IF(M56="","",M56/G56)</f>
        <v>0.0343811394891945</v>
      </c>
      <c r="O56" s="10" t="n">
        <f aca="false">IF(OR(D56="",F56=""),"",F56-D56)</f>
        <v>378</v>
      </c>
      <c r="P56" s="9" t="str">
        <f aca="false">IF(G56="","",IF(INT(G56/設定!$B$5)*設定!$B$5&gt;=100000000,TEXT(INT(G56/設定!$B$5)*設定!$B$5/100000000,"0.0")&amp;"億",TEXT(INT(G56/設定!$B$5)*設定!$B$5/10000,"#,##0")&amp;"万")&amp;"〜")</f>
        <v>5,000万〜</v>
      </c>
      <c r="Q56" s="5" t="n">
        <v>52</v>
      </c>
      <c r="R56" s="12"/>
    </row>
    <row r="57" customFormat="false" ht="15" hidden="false" customHeight="false" outlineLevel="0" collapsed="false">
      <c r="A57" s="5" t="n">
        <v>83</v>
      </c>
      <c r="B57" s="5" t="s">
        <v>20</v>
      </c>
      <c r="C57" s="6" t="s">
        <v>82</v>
      </c>
      <c r="D57" s="7" t="n">
        <v>45194</v>
      </c>
      <c r="E57" s="7" t="n">
        <v>45371</v>
      </c>
      <c r="F57" s="7" t="n">
        <v>45408</v>
      </c>
      <c r="G57" s="8" t="n">
        <v>37300000</v>
      </c>
      <c r="H57" s="8" t="n">
        <v>24300000</v>
      </c>
      <c r="I57" s="8" t="n">
        <v>7190000</v>
      </c>
      <c r="J57" s="9" t="str">
        <f aca="false">IF(F57="","",IFERROR(INDEX(設定!$A$8:$A$15,MATCH(F57,設定!$B$8:$B$15,1)),"対象外"))</f>
        <v>11期</v>
      </c>
      <c r="K57" s="9" t="str">
        <f aca="false">IF(F57="","未売却",IF(F57&lt;=設定!$B$3,"実績","予定"))</f>
        <v>実績</v>
      </c>
      <c r="L57" s="9" t="n">
        <f aca="false">IF(F57="",0,IF(OR(設定!$B$4="全て",K57="実績"),1,0))</f>
        <v>1</v>
      </c>
      <c r="M57" s="10" t="n">
        <f aca="false">IF(OR(G57="",H57=""),"",G57-H57-I57)</f>
        <v>5810000</v>
      </c>
      <c r="N57" s="11" t="n">
        <f aca="false">IF(M57="","",M57/G57)</f>
        <v>0.155764075067024</v>
      </c>
      <c r="O57" s="10" t="n">
        <f aca="false">IF(OR(D57="",F57=""),"",F57-D57)</f>
        <v>214</v>
      </c>
      <c r="P57" s="9" t="str">
        <f aca="false">IF(G57="","",IF(INT(G57/設定!$B$5)*設定!$B$5&gt;=100000000,TEXT(INT(G57/設定!$B$5)*設定!$B$5/100000000,"0.0")&amp;"億",TEXT(INT(G57/設定!$B$5)*設定!$B$5/10000,"#,##0")&amp;"万")&amp;"〜")</f>
        <v>0万〜</v>
      </c>
      <c r="Q57" s="5" t="n">
        <v>87</v>
      </c>
      <c r="R57" s="12"/>
    </row>
    <row r="58" customFormat="false" ht="15" hidden="false" customHeight="false" outlineLevel="0" collapsed="false">
      <c r="A58" s="5" t="n">
        <v>47</v>
      </c>
      <c r="B58" s="6" t="s">
        <v>23</v>
      </c>
      <c r="C58" s="6" t="s">
        <v>83</v>
      </c>
      <c r="D58" s="7" t="n">
        <v>45016</v>
      </c>
      <c r="E58" s="7" t="n">
        <v>45378</v>
      </c>
      <c r="F58" s="7" t="n">
        <v>45412</v>
      </c>
      <c r="G58" s="8" t="n">
        <v>54900000</v>
      </c>
      <c r="H58" s="8" t="n">
        <v>28950000</v>
      </c>
      <c r="I58" s="8" t="n">
        <v>20200000</v>
      </c>
      <c r="J58" s="9" t="str">
        <f aca="false">IF(F58="","",IFERROR(INDEX(設定!$A$8:$A$15,MATCH(F58,設定!$B$8:$B$15,1)),"対象外"))</f>
        <v>11期</v>
      </c>
      <c r="K58" s="9" t="str">
        <f aca="false">IF(F58="","未売却",IF(F58&lt;=設定!$B$3,"実績","予定"))</f>
        <v>実績</v>
      </c>
      <c r="L58" s="9" t="n">
        <f aca="false">IF(F58="",0,IF(OR(設定!$B$4="全て",K58="実績"),1,0))</f>
        <v>1</v>
      </c>
      <c r="M58" s="10" t="n">
        <f aca="false">IF(OR(G58="",H58=""),"",G58-H58-I58)</f>
        <v>5750000</v>
      </c>
      <c r="N58" s="11" t="n">
        <f aca="false">IF(M58="","",M58/G58)</f>
        <v>0.104735883424408</v>
      </c>
      <c r="O58" s="10" t="n">
        <f aca="false">IF(OR(D58="",F58=""),"",F58-D58)</f>
        <v>396</v>
      </c>
      <c r="P58" s="9" t="str">
        <f aca="false">IF(G58="","",IF(INT(G58/設定!$B$5)*設定!$B$5&gt;=100000000,TEXT(INT(G58/設定!$B$5)*設定!$B$5/100000000,"0.0")&amp;"億",TEXT(INT(G58/設定!$B$5)*設定!$B$5/10000,"#,##0")&amp;"万")&amp;"〜")</f>
        <v>5,000万〜</v>
      </c>
      <c r="Q58" s="5" t="n">
        <v>51</v>
      </c>
      <c r="R58" s="12"/>
    </row>
    <row r="59" customFormat="false" ht="15" hidden="false" customHeight="false" outlineLevel="0" collapsed="false">
      <c r="A59" s="5" t="n">
        <v>69</v>
      </c>
      <c r="B59" s="6" t="s">
        <v>23</v>
      </c>
      <c r="C59" s="6" t="s">
        <v>84</v>
      </c>
      <c r="D59" s="7" t="n">
        <v>45037</v>
      </c>
      <c r="E59" s="7" t="n">
        <v>45361</v>
      </c>
      <c r="F59" s="7" t="n">
        <v>45412</v>
      </c>
      <c r="G59" s="8" t="n">
        <v>229000000</v>
      </c>
      <c r="H59" s="8" t="n">
        <v>120000000</v>
      </c>
      <c r="I59" s="8" t="n">
        <v>56200000</v>
      </c>
      <c r="J59" s="9" t="str">
        <f aca="false">IF(F59="","",IFERROR(INDEX(設定!$A$8:$A$15,MATCH(F59,設定!$B$8:$B$15,1)),"対象外"))</f>
        <v>11期</v>
      </c>
      <c r="K59" s="9" t="str">
        <f aca="false">IF(F59="","未売却",IF(F59&lt;=設定!$B$3,"実績","予定"))</f>
        <v>実績</v>
      </c>
      <c r="L59" s="9" t="n">
        <f aca="false">IF(F59="",0,IF(OR(設定!$B$4="全て",K59="実績"),1,0))</f>
        <v>1</v>
      </c>
      <c r="M59" s="10" t="n">
        <f aca="false">IF(OR(G59="",H59=""),"",G59-H59-I59)</f>
        <v>52800000</v>
      </c>
      <c r="N59" s="11" t="n">
        <f aca="false">IF(M59="","",M59/G59)</f>
        <v>0.23056768558952</v>
      </c>
      <c r="O59" s="10" t="n">
        <f aca="false">IF(OR(D59="",F59=""),"",F59-D59)</f>
        <v>375</v>
      </c>
      <c r="P59" s="9" t="str">
        <f aca="false">IF(G59="","",IF(INT(G59/設定!$B$5)*設定!$B$5&gt;=100000000,TEXT(INT(G59/設定!$B$5)*設定!$B$5/100000000,"0.0")&amp;"億",TEXT(INT(G59/設定!$B$5)*設定!$B$5/10000,"#,##0")&amp;"万")&amp;"〜")</f>
        <v>2.0億〜</v>
      </c>
      <c r="Q59" s="5" t="n">
        <v>73</v>
      </c>
      <c r="R59" s="12"/>
    </row>
    <row r="60" customFormat="false" ht="15" hidden="false" customHeight="false" outlineLevel="0" collapsed="false">
      <c r="A60" s="5" t="n">
        <v>46</v>
      </c>
      <c r="B60" s="6" t="s">
        <v>50</v>
      </c>
      <c r="C60" s="6" t="s">
        <v>85</v>
      </c>
      <c r="D60" s="7" t="n">
        <v>45016</v>
      </c>
      <c r="E60" s="7" t="n">
        <v>45368</v>
      </c>
      <c r="F60" s="7" t="n">
        <v>45443</v>
      </c>
      <c r="G60" s="8" t="n">
        <v>41500000</v>
      </c>
      <c r="H60" s="8" t="n">
        <v>28950000</v>
      </c>
      <c r="I60" s="8" t="n">
        <v>1600000</v>
      </c>
      <c r="J60" s="9" t="str">
        <f aca="false">IF(F60="","",IFERROR(INDEX(設定!$A$8:$A$15,MATCH(F60,設定!$B$8:$B$15,1)),"対象外"))</f>
        <v>11期</v>
      </c>
      <c r="K60" s="9" t="str">
        <f aca="false">IF(F60="","未売却",IF(F60&lt;=設定!$B$3,"実績","予定"))</f>
        <v>実績</v>
      </c>
      <c r="L60" s="9" t="n">
        <f aca="false">IF(F60="",0,IF(OR(設定!$B$4="全て",K60="実績"),1,0))</f>
        <v>1</v>
      </c>
      <c r="M60" s="10" t="n">
        <f aca="false">IF(OR(G60="",H60=""),"",G60-H60-I60)</f>
        <v>10950000</v>
      </c>
      <c r="N60" s="11" t="n">
        <f aca="false">IF(M60="","",M60/G60)</f>
        <v>0.263855421686747</v>
      </c>
      <c r="O60" s="10" t="n">
        <f aca="false">IF(OR(D60="",F60=""),"",F60-D60)</f>
        <v>427</v>
      </c>
      <c r="P60" s="9" t="str">
        <f aca="false">IF(G60="","",IF(INT(G60/設定!$B$5)*設定!$B$5&gt;=100000000,TEXT(INT(G60/設定!$B$5)*設定!$B$5/100000000,"0.0")&amp;"億",TEXT(INT(G60/設定!$B$5)*設定!$B$5/10000,"#,##0")&amp;"万")&amp;"〜")</f>
        <v>0万〜</v>
      </c>
      <c r="Q60" s="5" t="n">
        <v>50</v>
      </c>
      <c r="R60" s="12"/>
    </row>
    <row r="61" customFormat="false" ht="15" hidden="false" customHeight="false" outlineLevel="0" collapsed="false">
      <c r="A61" s="5" t="n">
        <v>70</v>
      </c>
      <c r="B61" s="6" t="s">
        <v>23</v>
      </c>
      <c r="C61" s="6" t="s">
        <v>86</v>
      </c>
      <c r="D61" s="7" t="n">
        <v>45016</v>
      </c>
      <c r="E61" s="7" t="n">
        <v>45361</v>
      </c>
      <c r="F61" s="7" t="n">
        <v>45453</v>
      </c>
      <c r="G61" s="8" t="n">
        <v>248000000</v>
      </c>
      <c r="H61" s="8" t="n">
        <v>135600000</v>
      </c>
      <c r="I61" s="8" t="n">
        <v>69720000</v>
      </c>
      <c r="J61" s="9" t="str">
        <f aca="false">IF(F61="","",IFERROR(INDEX(設定!$A$8:$A$15,MATCH(F61,設定!$B$8:$B$15,1)),"対象外"))</f>
        <v>11期</v>
      </c>
      <c r="K61" s="9" t="str">
        <f aca="false">IF(F61="","未売却",IF(F61&lt;=設定!$B$3,"実績","予定"))</f>
        <v>実績</v>
      </c>
      <c r="L61" s="9" t="n">
        <f aca="false">IF(F61="",0,IF(OR(設定!$B$4="全て",K61="実績"),1,0))</f>
        <v>1</v>
      </c>
      <c r="M61" s="10" t="n">
        <f aca="false">IF(OR(G61="",H61=""),"",G61-H61-I61)</f>
        <v>42680000</v>
      </c>
      <c r="N61" s="11" t="n">
        <f aca="false">IF(M61="","",M61/G61)</f>
        <v>0.172096774193548</v>
      </c>
      <c r="O61" s="10" t="n">
        <f aca="false">IF(OR(D61="",F61=""),"",F61-D61)</f>
        <v>437</v>
      </c>
      <c r="P61" s="9" t="str">
        <f aca="false">IF(G61="","",IF(INT(G61/設定!$B$5)*設定!$B$5&gt;=100000000,TEXT(INT(G61/設定!$B$5)*設定!$B$5/100000000,"0.0")&amp;"億",TEXT(INT(G61/設定!$B$5)*設定!$B$5/10000,"#,##0")&amp;"万")&amp;"〜")</f>
        <v>2.0億〜</v>
      </c>
      <c r="Q61" s="5" t="n">
        <v>74</v>
      </c>
      <c r="R61" s="12"/>
    </row>
    <row r="62" customFormat="false" ht="15" hidden="false" customHeight="false" outlineLevel="0" collapsed="false">
      <c r="A62" s="5" t="n">
        <v>76</v>
      </c>
      <c r="B62" s="6" t="s">
        <v>23</v>
      </c>
      <c r="C62" s="6" t="s">
        <v>87</v>
      </c>
      <c r="D62" s="7" t="n">
        <v>45137</v>
      </c>
      <c r="E62" s="7" t="n">
        <v>45395</v>
      </c>
      <c r="F62" s="7" t="n">
        <v>45453</v>
      </c>
      <c r="G62" s="8" t="n">
        <v>51100000</v>
      </c>
      <c r="H62" s="8" t="n">
        <v>35000000</v>
      </c>
      <c r="I62" s="8" t="n">
        <v>3500000</v>
      </c>
      <c r="J62" s="9" t="str">
        <f aca="false">IF(F62="","",IFERROR(INDEX(設定!$A$8:$A$15,MATCH(F62,設定!$B$8:$B$15,1)),"対象外"))</f>
        <v>11期</v>
      </c>
      <c r="K62" s="9" t="str">
        <f aca="false">IF(F62="","未売却",IF(F62&lt;=設定!$B$3,"実績","予定"))</f>
        <v>実績</v>
      </c>
      <c r="L62" s="9" t="n">
        <f aca="false">IF(F62="",0,IF(OR(設定!$B$4="全て",K62="実績"),1,0))</f>
        <v>1</v>
      </c>
      <c r="M62" s="10" t="n">
        <f aca="false">IF(OR(G62="",H62=""),"",G62-H62-I62)</f>
        <v>12600000</v>
      </c>
      <c r="N62" s="11" t="n">
        <f aca="false">IF(M62="","",M62/G62)</f>
        <v>0.246575342465753</v>
      </c>
      <c r="O62" s="10" t="n">
        <f aca="false">IF(OR(D62="",F62=""),"",F62-D62)</f>
        <v>316</v>
      </c>
      <c r="P62" s="9" t="str">
        <f aca="false">IF(G62="","",IF(INT(G62/設定!$B$5)*設定!$B$5&gt;=100000000,TEXT(INT(G62/設定!$B$5)*設定!$B$5/100000000,"0.0")&amp;"億",TEXT(INT(G62/設定!$B$5)*設定!$B$5/10000,"#,##0")&amp;"万")&amp;"〜")</f>
        <v>5,000万〜</v>
      </c>
      <c r="Q62" s="5" t="n">
        <v>80</v>
      </c>
      <c r="R62" s="12"/>
    </row>
    <row r="63" customFormat="false" ht="15" hidden="false" customHeight="false" outlineLevel="0" collapsed="false">
      <c r="A63" s="5" t="n">
        <v>71</v>
      </c>
      <c r="B63" s="6" t="s">
        <v>23</v>
      </c>
      <c r="C63" s="6" t="s">
        <v>88</v>
      </c>
      <c r="D63" s="7" t="n">
        <v>45137</v>
      </c>
      <c r="E63" s="7" t="n">
        <v>45277</v>
      </c>
      <c r="F63" s="7" t="n">
        <v>45464</v>
      </c>
      <c r="G63" s="8" t="n">
        <v>79800000</v>
      </c>
      <c r="H63" s="8" t="n">
        <v>40000000</v>
      </c>
      <c r="I63" s="8" t="n">
        <v>19520000</v>
      </c>
      <c r="J63" s="9" t="str">
        <f aca="false">IF(F63="","",IFERROR(INDEX(設定!$A$8:$A$15,MATCH(F63,設定!$B$8:$B$15,1)),"対象外"))</f>
        <v>11期</v>
      </c>
      <c r="K63" s="9" t="str">
        <f aca="false">IF(F63="","未売却",IF(F63&lt;=設定!$B$3,"実績","予定"))</f>
        <v>実績</v>
      </c>
      <c r="L63" s="9" t="n">
        <f aca="false">IF(F63="",0,IF(OR(設定!$B$4="全て",K63="実績"),1,0))</f>
        <v>1</v>
      </c>
      <c r="M63" s="10" t="n">
        <f aca="false">IF(OR(G63="",H63=""),"",G63-H63-I63)</f>
        <v>20280000</v>
      </c>
      <c r="N63" s="11" t="n">
        <f aca="false">IF(M63="","",M63/G63)</f>
        <v>0.254135338345865</v>
      </c>
      <c r="O63" s="10" t="n">
        <f aca="false">IF(OR(D63="",F63=""),"",F63-D63)</f>
        <v>327</v>
      </c>
      <c r="P63" s="9" t="str">
        <f aca="false">IF(G63="","",IF(INT(G63/設定!$B$5)*設定!$B$5&gt;=100000000,TEXT(INT(G63/設定!$B$5)*設定!$B$5/100000000,"0.0")&amp;"億",TEXT(INT(G63/設定!$B$5)*設定!$B$5/10000,"#,##0")&amp;"万")&amp;"〜")</f>
        <v>5,000万〜</v>
      </c>
      <c r="Q63" s="5" t="n">
        <v>75</v>
      </c>
      <c r="R63" s="12"/>
    </row>
    <row r="64" customFormat="false" ht="15" hidden="false" customHeight="false" outlineLevel="0" collapsed="false">
      <c r="A64" s="5" t="n">
        <v>81</v>
      </c>
      <c r="B64" s="6" t="s">
        <v>23</v>
      </c>
      <c r="C64" s="6" t="s">
        <v>89</v>
      </c>
      <c r="D64" s="7" t="n">
        <v>45107</v>
      </c>
      <c r="E64" s="7" t="n">
        <v>45424</v>
      </c>
      <c r="F64" s="7" t="n">
        <v>45473</v>
      </c>
      <c r="G64" s="8" t="n">
        <v>42000000</v>
      </c>
      <c r="H64" s="8" t="n">
        <v>20500000</v>
      </c>
      <c r="I64" s="8" t="n">
        <v>19600000</v>
      </c>
      <c r="J64" s="9" t="str">
        <f aca="false">IF(F64="","",IFERROR(INDEX(設定!$A$8:$A$15,MATCH(F64,設定!$B$8:$B$15,1)),"対象外"))</f>
        <v>11期</v>
      </c>
      <c r="K64" s="9" t="str">
        <f aca="false">IF(F64="","未売却",IF(F64&lt;=設定!$B$3,"実績","予定"))</f>
        <v>実績</v>
      </c>
      <c r="L64" s="9" t="n">
        <f aca="false">IF(F64="",0,IF(OR(設定!$B$4="全て",K64="実績"),1,0))</f>
        <v>1</v>
      </c>
      <c r="M64" s="10" t="n">
        <f aca="false">IF(OR(G64="",H64=""),"",G64-H64-I64)</f>
        <v>1900000</v>
      </c>
      <c r="N64" s="11" t="n">
        <f aca="false">IF(M64="","",M64/G64)</f>
        <v>0.0452380952380952</v>
      </c>
      <c r="O64" s="10" t="n">
        <f aca="false">IF(OR(D64="",F64=""),"",F64-D64)</f>
        <v>366</v>
      </c>
      <c r="P64" s="9" t="str">
        <f aca="false">IF(G64="","",IF(INT(G64/設定!$B$5)*設定!$B$5&gt;=100000000,TEXT(INT(G64/設定!$B$5)*設定!$B$5/100000000,"0.0")&amp;"億",TEXT(INT(G64/設定!$B$5)*設定!$B$5/10000,"#,##0")&amp;"万")&amp;"〜")</f>
        <v>0万〜</v>
      </c>
      <c r="Q64" s="5" t="n">
        <v>85</v>
      </c>
      <c r="R64" s="12"/>
    </row>
    <row r="65" customFormat="false" ht="15" hidden="false" customHeight="false" outlineLevel="0" collapsed="false">
      <c r="A65" s="5" t="n">
        <v>84</v>
      </c>
      <c r="B65" s="6" t="s">
        <v>42</v>
      </c>
      <c r="C65" s="6" t="s">
        <v>90</v>
      </c>
      <c r="D65" s="7" t="n">
        <v>45219</v>
      </c>
      <c r="E65" s="7" t="n">
        <v>45408</v>
      </c>
      <c r="F65" s="7" t="n">
        <v>45473</v>
      </c>
      <c r="G65" s="8" t="n">
        <v>37000000</v>
      </c>
      <c r="H65" s="8" t="n">
        <v>33100000</v>
      </c>
      <c r="I65" s="8" t="n">
        <v>1100000</v>
      </c>
      <c r="J65" s="9" t="str">
        <f aca="false">IF(F65="","",IFERROR(INDEX(設定!$A$8:$A$15,MATCH(F65,設定!$B$8:$B$15,1)),"対象外"))</f>
        <v>11期</v>
      </c>
      <c r="K65" s="9" t="str">
        <f aca="false">IF(F65="","未売却",IF(F65&lt;=設定!$B$3,"実績","予定"))</f>
        <v>実績</v>
      </c>
      <c r="L65" s="9" t="n">
        <f aca="false">IF(F65="",0,IF(OR(設定!$B$4="全て",K65="実績"),1,0))</f>
        <v>1</v>
      </c>
      <c r="M65" s="10" t="n">
        <f aca="false">IF(OR(G65="",H65=""),"",G65-H65-I65)</f>
        <v>2800000</v>
      </c>
      <c r="N65" s="11" t="n">
        <f aca="false">IF(M65="","",M65/G65)</f>
        <v>0.0756756756756757</v>
      </c>
      <c r="O65" s="10" t="n">
        <f aca="false">IF(OR(D65="",F65=""),"",F65-D65)</f>
        <v>254</v>
      </c>
      <c r="P65" s="9" t="str">
        <f aca="false">IF(G65="","",IF(INT(G65/設定!$B$5)*設定!$B$5&gt;=100000000,TEXT(INT(G65/設定!$B$5)*設定!$B$5/100000000,"0.0")&amp;"億",TEXT(INT(G65/設定!$B$5)*設定!$B$5/10000,"#,##0")&amp;"万")&amp;"〜")</f>
        <v>0万〜</v>
      </c>
      <c r="Q65" s="5" t="n">
        <v>88</v>
      </c>
      <c r="R65" s="12"/>
    </row>
    <row r="66" customFormat="false" ht="15" hidden="false" customHeight="false" outlineLevel="0" collapsed="false">
      <c r="A66" s="5" t="n">
        <v>94</v>
      </c>
      <c r="B66" s="6" t="s">
        <v>42</v>
      </c>
      <c r="C66" s="6" t="s">
        <v>91</v>
      </c>
      <c r="D66" s="7" t="n">
        <v>45382</v>
      </c>
      <c r="E66" s="7" t="n">
        <v>45361</v>
      </c>
      <c r="F66" s="7" t="n">
        <v>45473</v>
      </c>
      <c r="G66" s="8" t="n">
        <v>92400000</v>
      </c>
      <c r="H66" s="8" t="n">
        <v>76000000</v>
      </c>
      <c r="I66" s="8" t="n">
        <v>2000000</v>
      </c>
      <c r="J66" s="9" t="str">
        <f aca="false">IF(F66="","",IFERROR(INDEX(設定!$A$8:$A$15,MATCH(F66,設定!$B$8:$B$15,1)),"対象外"))</f>
        <v>11期</v>
      </c>
      <c r="K66" s="9" t="str">
        <f aca="false">IF(F66="","未売却",IF(F66&lt;=設定!$B$3,"実績","予定"))</f>
        <v>実績</v>
      </c>
      <c r="L66" s="9" t="n">
        <f aca="false">IF(F66="",0,IF(OR(設定!$B$4="全て",K66="実績"),1,0))</f>
        <v>1</v>
      </c>
      <c r="M66" s="10" t="n">
        <f aca="false">IF(OR(G66="",H66=""),"",G66-H66-I66)</f>
        <v>14400000</v>
      </c>
      <c r="N66" s="11" t="n">
        <f aca="false">IF(M66="","",M66/G66)</f>
        <v>0.155844155844156</v>
      </c>
      <c r="O66" s="10" t="n">
        <f aca="false">IF(OR(D66="",F66=""),"",F66-D66)</f>
        <v>91</v>
      </c>
      <c r="P66" s="9" t="str">
        <f aca="false">IF(G66="","",IF(INT(G66/設定!$B$5)*設定!$B$5&gt;=100000000,TEXT(INT(G66/設定!$B$5)*設定!$B$5/100000000,"0.0")&amp;"億",TEXT(INT(G66/設定!$B$5)*設定!$B$5/10000,"#,##0")&amp;"万")&amp;"〜")</f>
        <v>5,000万〜</v>
      </c>
      <c r="Q66" s="5" t="n">
        <v>98</v>
      </c>
      <c r="R66" s="12"/>
    </row>
    <row r="67" customFormat="false" ht="15" hidden="false" customHeight="false" outlineLevel="0" collapsed="false">
      <c r="A67" s="5" t="n">
        <v>72</v>
      </c>
      <c r="B67" s="6" t="s">
        <v>23</v>
      </c>
      <c r="C67" s="6" t="s">
        <v>92</v>
      </c>
      <c r="D67" s="7" t="n">
        <v>45232</v>
      </c>
      <c r="E67" s="7" t="n">
        <v>45450</v>
      </c>
      <c r="F67" s="7" t="n">
        <v>45483</v>
      </c>
      <c r="G67" s="8" t="n">
        <v>79800000</v>
      </c>
      <c r="H67" s="8" t="n">
        <v>40150000</v>
      </c>
      <c r="I67" s="8" t="n">
        <v>29300000</v>
      </c>
      <c r="J67" s="9" t="str">
        <f aca="false">IF(F67="","",IFERROR(INDEX(設定!$A$8:$A$15,MATCH(F67,設定!$B$8:$B$15,1)),"対象外"))</f>
        <v>12期</v>
      </c>
      <c r="K67" s="9" t="str">
        <f aca="false">IF(F67="","未売却",IF(F67&lt;=設定!$B$3,"実績","予定"))</f>
        <v>実績</v>
      </c>
      <c r="L67" s="9" t="n">
        <f aca="false">IF(F67="",0,IF(OR(設定!$B$4="全て",K67="実績"),1,0))</f>
        <v>1</v>
      </c>
      <c r="M67" s="10" t="n">
        <f aca="false">IF(OR(G67="",H67=""),"",G67-H67-I67)</f>
        <v>10350000</v>
      </c>
      <c r="N67" s="11" t="n">
        <f aca="false">IF(M67="","",M67/G67)</f>
        <v>0.129699248120301</v>
      </c>
      <c r="O67" s="10" t="n">
        <f aca="false">IF(OR(D67="",F67=""),"",F67-D67)</f>
        <v>251</v>
      </c>
      <c r="P67" s="9" t="str">
        <f aca="false">IF(G67="","",IF(INT(G67/設定!$B$5)*設定!$B$5&gt;=100000000,TEXT(INT(G67/設定!$B$5)*設定!$B$5/100000000,"0.0")&amp;"億",TEXT(INT(G67/設定!$B$5)*設定!$B$5/10000,"#,##0")&amp;"万")&amp;"〜")</f>
        <v>5,000万〜</v>
      </c>
      <c r="Q67" s="5" t="n">
        <v>76</v>
      </c>
      <c r="R67" s="12"/>
    </row>
    <row r="68" customFormat="false" ht="15" hidden="false" customHeight="false" outlineLevel="0" collapsed="false">
      <c r="A68" s="5" t="n">
        <v>79</v>
      </c>
      <c r="B68" s="6" t="s">
        <v>93</v>
      </c>
      <c r="C68" s="6" t="s">
        <v>94</v>
      </c>
      <c r="D68" s="7" t="n">
        <v>45230</v>
      </c>
      <c r="E68" s="7" t="n">
        <v>45466</v>
      </c>
      <c r="F68" s="7" t="n">
        <v>45483</v>
      </c>
      <c r="G68" s="8" t="n">
        <v>99800000</v>
      </c>
      <c r="H68" s="8" t="n">
        <v>66500000</v>
      </c>
      <c r="I68" s="8" t="n">
        <v>8100000</v>
      </c>
      <c r="J68" s="9" t="str">
        <f aca="false">IF(F68="","",IFERROR(INDEX(設定!$A$8:$A$15,MATCH(F68,設定!$B$8:$B$15,1)),"対象外"))</f>
        <v>12期</v>
      </c>
      <c r="K68" s="9" t="str">
        <f aca="false">IF(F68="","未売却",IF(F68&lt;=設定!$B$3,"実績","予定"))</f>
        <v>実績</v>
      </c>
      <c r="L68" s="9" t="n">
        <f aca="false">IF(F68="",0,IF(OR(設定!$B$4="全て",K68="実績"),1,0))</f>
        <v>1</v>
      </c>
      <c r="M68" s="10" t="n">
        <f aca="false">IF(OR(G68="",H68=""),"",G68-H68-I68)</f>
        <v>25200000</v>
      </c>
      <c r="N68" s="11" t="n">
        <f aca="false">IF(M68="","",M68/G68)</f>
        <v>0.25250501002004</v>
      </c>
      <c r="O68" s="10" t="n">
        <f aca="false">IF(OR(D68="",F68=""),"",F68-D68)</f>
        <v>253</v>
      </c>
      <c r="P68" s="9" t="str">
        <f aca="false">IF(G68="","",IF(INT(G68/設定!$B$5)*設定!$B$5&gt;=100000000,TEXT(INT(G68/設定!$B$5)*設定!$B$5/100000000,"0.0")&amp;"億",TEXT(INT(G68/設定!$B$5)*設定!$B$5/10000,"#,##0")&amp;"万")&amp;"〜")</f>
        <v>5,000万〜</v>
      </c>
      <c r="Q68" s="5" t="n">
        <v>83</v>
      </c>
      <c r="R68" s="12"/>
    </row>
    <row r="69" customFormat="false" ht="15" hidden="false" customHeight="false" outlineLevel="0" collapsed="false">
      <c r="A69" s="5" t="n">
        <v>74</v>
      </c>
      <c r="B69" s="6" t="s">
        <v>23</v>
      </c>
      <c r="C69" s="6" t="s">
        <v>95</v>
      </c>
      <c r="D69" s="7" t="n">
        <v>45137</v>
      </c>
      <c r="E69" s="7" t="n">
        <v>45452</v>
      </c>
      <c r="F69" s="7" t="n">
        <v>45487</v>
      </c>
      <c r="G69" s="8" t="n">
        <v>44900000</v>
      </c>
      <c r="H69" s="8" t="n">
        <v>20000000</v>
      </c>
      <c r="I69" s="8" t="n">
        <v>18760000</v>
      </c>
      <c r="J69" s="9" t="str">
        <f aca="false">IF(F69="","",IFERROR(INDEX(設定!$A$8:$A$15,MATCH(F69,設定!$B$8:$B$15,1)),"対象外"))</f>
        <v>12期</v>
      </c>
      <c r="K69" s="9" t="str">
        <f aca="false">IF(F69="","未売却",IF(F69&lt;=設定!$B$3,"実績","予定"))</f>
        <v>実績</v>
      </c>
      <c r="L69" s="9" t="n">
        <f aca="false">IF(F69="",0,IF(OR(設定!$B$4="全て",K69="実績"),1,0))</f>
        <v>1</v>
      </c>
      <c r="M69" s="10" t="n">
        <f aca="false">IF(OR(G69="",H69=""),"",G69-H69-I69)</f>
        <v>6140000</v>
      </c>
      <c r="N69" s="11" t="n">
        <f aca="false">IF(M69="","",M69/G69)</f>
        <v>0.136748329621381</v>
      </c>
      <c r="O69" s="10" t="n">
        <f aca="false">IF(OR(D69="",F69=""),"",F69-D69)</f>
        <v>350</v>
      </c>
      <c r="P69" s="9" t="str">
        <f aca="false">IF(G69="","",IF(INT(G69/設定!$B$5)*設定!$B$5&gt;=100000000,TEXT(INT(G69/設定!$B$5)*設定!$B$5/100000000,"0.0")&amp;"億",TEXT(INT(G69/設定!$B$5)*設定!$B$5/10000,"#,##0")&amp;"万")&amp;"〜")</f>
        <v>0万〜</v>
      </c>
      <c r="Q69" s="5" t="n">
        <v>78</v>
      </c>
      <c r="R69" s="12"/>
    </row>
    <row r="70" customFormat="false" ht="15" hidden="false" customHeight="false" outlineLevel="0" collapsed="false">
      <c r="A70" s="5" t="n">
        <v>73</v>
      </c>
      <c r="B70" s="6" t="s">
        <v>23</v>
      </c>
      <c r="C70" s="6" t="s">
        <v>96</v>
      </c>
      <c r="D70" s="7" t="n">
        <v>45232</v>
      </c>
      <c r="E70" s="7" t="n">
        <v>45508</v>
      </c>
      <c r="F70" s="7" t="n">
        <v>45545</v>
      </c>
      <c r="G70" s="8" t="n">
        <v>79000000</v>
      </c>
      <c r="H70" s="8" t="n">
        <v>40150000</v>
      </c>
      <c r="I70" s="8" t="n">
        <v>29400000</v>
      </c>
      <c r="J70" s="9" t="str">
        <f aca="false">IF(F70="","",IFERROR(INDEX(設定!$A$8:$A$15,MATCH(F70,設定!$B$8:$B$15,1)),"対象外"))</f>
        <v>12期</v>
      </c>
      <c r="K70" s="9" t="str">
        <f aca="false">IF(F70="","未売却",IF(F70&lt;=設定!$B$3,"実績","予定"))</f>
        <v>実績</v>
      </c>
      <c r="L70" s="9" t="n">
        <f aca="false">IF(F70="",0,IF(OR(設定!$B$4="全て",K70="実績"),1,0))</f>
        <v>1</v>
      </c>
      <c r="M70" s="10" t="n">
        <f aca="false">IF(OR(G70="",H70=""),"",G70-H70-I70)</f>
        <v>9450000</v>
      </c>
      <c r="N70" s="11" t="n">
        <f aca="false">IF(M70="","",M70/G70)</f>
        <v>0.119620253164557</v>
      </c>
      <c r="O70" s="10" t="n">
        <f aca="false">IF(OR(D70="",F70=""),"",F70-D70)</f>
        <v>313</v>
      </c>
      <c r="P70" s="9" t="str">
        <f aca="false">IF(G70="","",IF(INT(G70/設定!$B$5)*設定!$B$5&gt;=100000000,TEXT(INT(G70/設定!$B$5)*設定!$B$5/100000000,"0.0")&amp;"億",TEXT(INT(G70/設定!$B$5)*設定!$B$5/10000,"#,##0")&amp;"万")&amp;"〜")</f>
        <v>5,000万〜</v>
      </c>
      <c r="Q70" s="5" t="n">
        <v>77</v>
      </c>
      <c r="R70" s="12"/>
    </row>
    <row r="71" customFormat="false" ht="15" hidden="false" customHeight="false" outlineLevel="0" collapsed="false">
      <c r="A71" s="5" t="n">
        <v>89</v>
      </c>
      <c r="B71" s="6" t="s">
        <v>23</v>
      </c>
      <c r="C71" s="6" t="s">
        <v>97</v>
      </c>
      <c r="D71" s="7" t="n">
        <v>45313</v>
      </c>
      <c r="E71" s="7" t="n">
        <v>45463</v>
      </c>
      <c r="F71" s="7" t="n">
        <v>45565</v>
      </c>
      <c r="G71" s="8" t="n">
        <v>44800000</v>
      </c>
      <c r="H71" s="8" t="n">
        <v>19100000</v>
      </c>
      <c r="I71" s="8" t="n">
        <v>17970000</v>
      </c>
      <c r="J71" s="9" t="str">
        <f aca="false">IF(F71="","",IFERROR(INDEX(設定!$A$8:$A$15,MATCH(F71,設定!$B$8:$B$15,1)),"対象外"))</f>
        <v>12期</v>
      </c>
      <c r="K71" s="9" t="str">
        <f aca="false">IF(F71="","未売却",IF(F71&lt;=設定!$B$3,"実績","予定"))</f>
        <v>実績</v>
      </c>
      <c r="L71" s="9" t="n">
        <f aca="false">IF(F71="",0,IF(OR(設定!$B$4="全て",K71="実績"),1,0))</f>
        <v>1</v>
      </c>
      <c r="M71" s="10" t="n">
        <f aca="false">IF(OR(G71="",H71=""),"",G71-H71-I71)</f>
        <v>7730000</v>
      </c>
      <c r="N71" s="11" t="n">
        <f aca="false">IF(M71="","",M71/G71)</f>
        <v>0.172544642857143</v>
      </c>
      <c r="O71" s="10" t="n">
        <f aca="false">IF(OR(D71="",F71=""),"",F71-D71)</f>
        <v>252</v>
      </c>
      <c r="P71" s="9" t="str">
        <f aca="false">IF(G71="","",IF(INT(G71/設定!$B$5)*設定!$B$5&gt;=100000000,TEXT(INT(G71/設定!$B$5)*設定!$B$5/100000000,"0.0")&amp;"億",TEXT(INT(G71/設定!$B$5)*設定!$B$5/10000,"#,##0")&amp;"万")&amp;"〜")</f>
        <v>0万〜</v>
      </c>
      <c r="Q71" s="5" t="n">
        <v>93</v>
      </c>
      <c r="R71" s="12"/>
    </row>
    <row r="72" customFormat="false" ht="15" hidden="false" customHeight="false" outlineLevel="0" collapsed="false">
      <c r="A72" s="5" t="n">
        <v>100</v>
      </c>
      <c r="B72" s="6" t="s">
        <v>26</v>
      </c>
      <c r="C72" s="6" t="s">
        <v>98</v>
      </c>
      <c r="D72" s="7" t="n">
        <v>45443</v>
      </c>
      <c r="E72" s="7" t="n">
        <v>45508</v>
      </c>
      <c r="F72" s="7" t="n">
        <v>45565</v>
      </c>
      <c r="G72" s="8" t="n">
        <v>74800000</v>
      </c>
      <c r="H72" s="8" t="n">
        <v>50300000</v>
      </c>
      <c r="I72" s="8" t="n">
        <v>11500000</v>
      </c>
      <c r="J72" s="9" t="str">
        <f aca="false">IF(F72="","",IFERROR(INDEX(設定!$A$8:$A$15,MATCH(F72,設定!$B$8:$B$15,1)),"対象外"))</f>
        <v>12期</v>
      </c>
      <c r="K72" s="9" t="str">
        <f aca="false">IF(F72="","未売却",IF(F72&lt;=設定!$B$3,"実績","予定"))</f>
        <v>実績</v>
      </c>
      <c r="L72" s="9" t="n">
        <f aca="false">IF(F72="",0,IF(OR(設定!$B$4="全て",K72="実績"),1,0))</f>
        <v>1</v>
      </c>
      <c r="M72" s="10" t="n">
        <f aca="false">IF(OR(G72="",H72=""),"",G72-H72-I72)</f>
        <v>13000000</v>
      </c>
      <c r="N72" s="11" t="n">
        <f aca="false">IF(M72="","",M72/G72)</f>
        <v>0.17379679144385</v>
      </c>
      <c r="O72" s="10" t="n">
        <f aca="false">IF(OR(D72="",F72=""),"",F72-D72)</f>
        <v>122</v>
      </c>
      <c r="P72" s="9" t="str">
        <f aca="false">IF(G72="","",IF(INT(G72/設定!$B$5)*設定!$B$5&gt;=100000000,TEXT(INT(G72/設定!$B$5)*設定!$B$5/100000000,"0.0")&amp;"億",TEXT(INT(G72/設定!$B$5)*設定!$B$5/10000,"#,##0")&amp;"万")&amp;"〜")</f>
        <v>5,000万〜</v>
      </c>
      <c r="Q72" s="5" t="n">
        <v>104</v>
      </c>
      <c r="R72" s="12"/>
    </row>
    <row r="73" customFormat="false" ht="15" hidden="false" customHeight="false" outlineLevel="0" collapsed="false">
      <c r="A73" s="5" t="n">
        <v>85</v>
      </c>
      <c r="B73" s="6" t="s">
        <v>23</v>
      </c>
      <c r="C73" s="6" t="s">
        <v>99</v>
      </c>
      <c r="D73" s="7" t="n">
        <v>45503</v>
      </c>
      <c r="E73" s="7" t="n">
        <v>45537</v>
      </c>
      <c r="F73" s="7" t="n">
        <v>45596</v>
      </c>
      <c r="G73" s="8" t="n">
        <v>30900000</v>
      </c>
      <c r="H73" s="8" t="n">
        <v>20900000</v>
      </c>
      <c r="I73" s="8" t="n">
        <v>4300000</v>
      </c>
      <c r="J73" s="9" t="str">
        <f aca="false">IF(F73="","",IFERROR(INDEX(設定!$A$8:$A$15,MATCH(F73,設定!$B$8:$B$15,1)),"対象外"))</f>
        <v>13期</v>
      </c>
      <c r="K73" s="9" t="str">
        <f aca="false">IF(F73="","未売却",IF(F73&lt;=設定!$B$3,"実績","予定"))</f>
        <v>実績</v>
      </c>
      <c r="L73" s="9" t="n">
        <f aca="false">IF(F73="",0,IF(OR(設定!$B$4="全て",K73="実績"),1,0))</f>
        <v>1</v>
      </c>
      <c r="M73" s="10" t="n">
        <f aca="false">IF(OR(G73="",H73=""),"",G73-H73-I73)</f>
        <v>5700000</v>
      </c>
      <c r="N73" s="11" t="n">
        <f aca="false">IF(M73="","",M73/G73)</f>
        <v>0.184466019417476</v>
      </c>
      <c r="O73" s="10" t="n">
        <f aca="false">IF(OR(D73="",F73=""),"",F73-D73)</f>
        <v>93</v>
      </c>
      <c r="P73" s="9" t="str">
        <f aca="false">IF(G73="","",IF(INT(G73/設定!$B$5)*設定!$B$5&gt;=100000000,TEXT(INT(G73/設定!$B$5)*設定!$B$5/100000000,"0.0")&amp;"億",TEXT(INT(G73/設定!$B$5)*設定!$B$5/10000,"#,##0")&amp;"万")&amp;"〜")</f>
        <v>0万〜</v>
      </c>
      <c r="Q73" s="5" t="n">
        <v>89</v>
      </c>
      <c r="R73" s="12"/>
    </row>
    <row r="74" customFormat="false" ht="15" hidden="false" customHeight="false" outlineLevel="0" collapsed="false">
      <c r="A74" s="5" t="n">
        <v>38</v>
      </c>
      <c r="B74" s="6" t="s">
        <v>23</v>
      </c>
      <c r="C74" s="6" t="s">
        <v>100</v>
      </c>
      <c r="D74" s="7" t="n">
        <v>45230</v>
      </c>
      <c r="E74" s="7" t="n">
        <v>45577</v>
      </c>
      <c r="F74" s="7" t="n">
        <v>45619</v>
      </c>
      <c r="G74" s="8" t="n">
        <v>109000000</v>
      </c>
      <c r="H74" s="8"/>
      <c r="I74" s="8" t="n">
        <v>26800000</v>
      </c>
      <c r="J74" s="9" t="str">
        <f aca="false">IF(F74="","",IFERROR(INDEX(設定!$A$8:$A$15,MATCH(F74,設定!$B$8:$B$15,1)),"対象外"))</f>
        <v>13期</v>
      </c>
      <c r="K74" s="9" t="str">
        <f aca="false">IF(F74="","未売却",IF(F74&lt;=設定!$B$3,"実績","予定"))</f>
        <v>実績</v>
      </c>
      <c r="L74" s="9" t="n">
        <f aca="false">IF(F74="",0,IF(OR(設定!$B$4="全て",K74="実績"),1,0))</f>
        <v>1</v>
      </c>
      <c r="M74" s="10" t="str">
        <f aca="false">IF(OR(G74="",H74=""),"",G74-H74-I74)</f>
        <v/>
      </c>
      <c r="N74" s="11" t="str">
        <f aca="false">IF(M74="","",M74/G74)</f>
        <v/>
      </c>
      <c r="O74" s="10" t="n">
        <f aca="false">IF(OR(D74="",F74=""),"",F74-D74)</f>
        <v>389</v>
      </c>
      <c r="P74" s="9" t="str">
        <f aca="false">IF(G74="","",IF(INT(G74/設定!$B$5)*設定!$B$5&gt;=100000000,TEXT(INT(G74/設定!$B$5)*設定!$B$5/100000000,"0.0")&amp;"億",TEXT(INT(G74/設定!$B$5)*設定!$B$5/10000,"#,##0")&amp;"万")&amp;"〜")</f>
        <v>1.0億〜</v>
      </c>
      <c r="Q74" s="5" t="n">
        <v>42</v>
      </c>
      <c r="R74" s="12" t="s">
        <v>22</v>
      </c>
    </row>
    <row r="75" customFormat="false" ht="15" hidden="false" customHeight="false" outlineLevel="0" collapsed="false">
      <c r="A75" s="5" t="n">
        <v>95</v>
      </c>
      <c r="B75" s="5" t="s">
        <v>20</v>
      </c>
      <c r="C75" s="6" t="s">
        <v>101</v>
      </c>
      <c r="D75" s="7" t="n">
        <v>45380</v>
      </c>
      <c r="E75" s="7" t="n">
        <v>45594</v>
      </c>
      <c r="F75" s="7" t="n">
        <v>45636</v>
      </c>
      <c r="G75" s="8" t="n">
        <v>43800000</v>
      </c>
      <c r="H75" s="8" t="n">
        <v>32400000</v>
      </c>
      <c r="I75" s="8" t="n">
        <v>6000000</v>
      </c>
      <c r="J75" s="9" t="str">
        <f aca="false">IF(F75="","",IFERROR(INDEX(設定!$A$8:$A$15,MATCH(F75,設定!$B$8:$B$15,1)),"対象外"))</f>
        <v>13期</v>
      </c>
      <c r="K75" s="9" t="str">
        <f aca="false">IF(F75="","未売却",IF(F75&lt;=設定!$B$3,"実績","予定"))</f>
        <v>実績</v>
      </c>
      <c r="L75" s="9" t="n">
        <f aca="false">IF(F75="",0,IF(OR(設定!$B$4="全て",K75="実績"),1,0))</f>
        <v>1</v>
      </c>
      <c r="M75" s="10" t="n">
        <f aca="false">IF(OR(G75="",H75=""),"",G75-H75-I75)</f>
        <v>5400000</v>
      </c>
      <c r="N75" s="11" t="n">
        <f aca="false">IF(M75="","",M75/G75)</f>
        <v>0.123287671232877</v>
      </c>
      <c r="O75" s="10" t="n">
        <f aca="false">IF(OR(D75="",F75=""),"",F75-D75)</f>
        <v>256</v>
      </c>
      <c r="P75" s="9" t="str">
        <f aca="false">IF(G75="","",IF(INT(G75/設定!$B$5)*設定!$B$5&gt;=100000000,TEXT(INT(G75/設定!$B$5)*設定!$B$5/100000000,"0.0")&amp;"億",TEXT(INT(G75/設定!$B$5)*設定!$B$5/10000,"#,##0")&amp;"万")&amp;"〜")</f>
        <v>0万〜</v>
      </c>
      <c r="Q75" s="5" t="n">
        <v>99</v>
      </c>
      <c r="R75" s="12"/>
    </row>
    <row r="76" customFormat="false" ht="15" hidden="false" customHeight="false" outlineLevel="0" collapsed="false">
      <c r="A76" s="5" t="n">
        <v>90</v>
      </c>
      <c r="B76" s="6" t="s">
        <v>23</v>
      </c>
      <c r="C76" s="6" t="s">
        <v>102</v>
      </c>
      <c r="D76" s="7" t="n">
        <v>45313</v>
      </c>
      <c r="E76" s="7" t="n">
        <v>45607</v>
      </c>
      <c r="F76" s="7" t="n">
        <v>45645</v>
      </c>
      <c r="G76" s="8" t="n">
        <v>42800000</v>
      </c>
      <c r="H76" s="8" t="n">
        <v>14500000</v>
      </c>
      <c r="I76" s="8" t="n">
        <v>17690000</v>
      </c>
      <c r="J76" s="9" t="str">
        <f aca="false">IF(F76="","",IFERROR(INDEX(設定!$A$8:$A$15,MATCH(F76,設定!$B$8:$B$15,1)),"対象外"))</f>
        <v>13期</v>
      </c>
      <c r="K76" s="9" t="str">
        <f aca="false">IF(F76="","未売却",IF(F76&lt;=設定!$B$3,"実績","予定"))</f>
        <v>実績</v>
      </c>
      <c r="L76" s="9" t="n">
        <f aca="false">IF(F76="",0,IF(OR(設定!$B$4="全て",K76="実績"),1,0))</f>
        <v>1</v>
      </c>
      <c r="M76" s="10" t="n">
        <f aca="false">IF(OR(G76="",H76=""),"",G76-H76-I76)</f>
        <v>10610000</v>
      </c>
      <c r="N76" s="11" t="n">
        <f aca="false">IF(M76="","",M76/G76)</f>
        <v>0.247897196261682</v>
      </c>
      <c r="O76" s="10" t="n">
        <f aca="false">IF(OR(D76="",F76=""),"",F76-D76)</f>
        <v>332</v>
      </c>
      <c r="P76" s="9" t="str">
        <f aca="false">IF(G76="","",IF(INT(G76/設定!$B$5)*設定!$B$5&gt;=100000000,TEXT(INT(G76/設定!$B$5)*設定!$B$5/100000000,"0.0")&amp;"億",TEXT(INT(G76/設定!$B$5)*設定!$B$5/10000,"#,##0")&amp;"万")&amp;"〜")</f>
        <v>0万〜</v>
      </c>
      <c r="Q76" s="5" t="n">
        <v>94</v>
      </c>
      <c r="R76" s="12"/>
    </row>
    <row r="77" customFormat="false" ht="15" hidden="false" customHeight="false" outlineLevel="0" collapsed="false">
      <c r="A77" s="5" t="n">
        <v>75</v>
      </c>
      <c r="B77" s="5" t="s">
        <v>20</v>
      </c>
      <c r="C77" s="6" t="s">
        <v>103</v>
      </c>
      <c r="D77" s="7" t="n">
        <v>45137</v>
      </c>
      <c r="E77" s="7" t="n">
        <v>45616</v>
      </c>
      <c r="F77" s="7" t="n">
        <v>45646</v>
      </c>
      <c r="G77" s="8" t="n">
        <v>29000000</v>
      </c>
      <c r="H77" s="8" t="n">
        <v>34800000</v>
      </c>
      <c r="I77" s="8" t="n">
        <v>7300000</v>
      </c>
      <c r="J77" s="9" t="str">
        <f aca="false">IF(F77="","",IFERROR(INDEX(設定!$A$8:$A$15,MATCH(F77,設定!$B$8:$B$15,1)),"対象外"))</f>
        <v>13期</v>
      </c>
      <c r="K77" s="9" t="str">
        <f aca="false">IF(F77="","未売却",IF(F77&lt;=設定!$B$3,"実績","予定"))</f>
        <v>実績</v>
      </c>
      <c r="L77" s="9" t="n">
        <f aca="false">IF(F77="",0,IF(OR(設定!$B$4="全て",K77="実績"),1,0))</f>
        <v>1</v>
      </c>
      <c r="M77" s="10" t="n">
        <f aca="false">IF(OR(G77="",H77=""),"",G77-H77-I77)</f>
        <v>-13100000</v>
      </c>
      <c r="N77" s="11" t="n">
        <f aca="false">IF(M77="","",M77/G77)</f>
        <v>-0.451724137931035</v>
      </c>
      <c r="O77" s="10" t="n">
        <f aca="false">IF(OR(D77="",F77=""),"",F77-D77)</f>
        <v>509</v>
      </c>
      <c r="P77" s="9" t="str">
        <f aca="false">IF(G77="","",IF(INT(G77/設定!$B$5)*設定!$B$5&gt;=100000000,TEXT(INT(G77/設定!$B$5)*設定!$B$5/100000000,"0.0")&amp;"億",TEXT(INT(G77/設定!$B$5)*設定!$B$5/10000,"#,##0")&amp;"万")&amp;"〜")</f>
        <v>0万〜</v>
      </c>
      <c r="Q77" s="5" t="n">
        <v>79</v>
      </c>
      <c r="R77" s="12" t="s">
        <v>64</v>
      </c>
    </row>
    <row r="78" customFormat="false" ht="15" hidden="false" customHeight="false" outlineLevel="0" collapsed="false">
      <c r="A78" s="5" t="n">
        <v>105</v>
      </c>
      <c r="B78" s="6" t="s">
        <v>26</v>
      </c>
      <c r="C78" s="6" t="s">
        <v>104</v>
      </c>
      <c r="D78" s="7" t="n">
        <v>45626</v>
      </c>
      <c r="E78" s="7" t="n">
        <v>45619</v>
      </c>
      <c r="F78" s="7" t="n">
        <v>45651</v>
      </c>
      <c r="G78" s="8" t="n">
        <v>46800000</v>
      </c>
      <c r="H78" s="8" t="n">
        <v>30500000</v>
      </c>
      <c r="I78" s="8" t="n">
        <v>10500000</v>
      </c>
      <c r="J78" s="9" t="str">
        <f aca="false">IF(F78="","",IFERROR(INDEX(設定!$A$8:$A$15,MATCH(F78,設定!$B$8:$B$15,1)),"対象外"))</f>
        <v>13期</v>
      </c>
      <c r="K78" s="9" t="str">
        <f aca="false">IF(F78="","未売却",IF(F78&lt;=設定!$B$3,"実績","予定"))</f>
        <v>実績</v>
      </c>
      <c r="L78" s="9" t="n">
        <f aca="false">IF(F78="",0,IF(OR(設定!$B$4="全て",K78="実績"),1,0))</f>
        <v>1</v>
      </c>
      <c r="M78" s="10" t="n">
        <f aca="false">IF(OR(G78="",H78=""),"",G78-H78-I78)</f>
        <v>5800000</v>
      </c>
      <c r="N78" s="11" t="n">
        <f aca="false">IF(M78="","",M78/G78)</f>
        <v>0.123931623931624</v>
      </c>
      <c r="O78" s="10" t="n">
        <f aca="false">IF(OR(D78="",F78=""),"",F78-D78)</f>
        <v>25</v>
      </c>
      <c r="P78" s="9" t="str">
        <f aca="false">IF(G78="","",IF(INT(G78/設定!$B$5)*設定!$B$5&gt;=100000000,TEXT(INT(G78/設定!$B$5)*設定!$B$5/100000000,"0.0")&amp;"億",TEXT(INT(G78/設定!$B$5)*設定!$B$5/10000,"#,##0")&amp;"万")&amp;"〜")</f>
        <v>0万〜</v>
      </c>
      <c r="Q78" s="5" t="n">
        <v>109</v>
      </c>
      <c r="R78" s="12"/>
    </row>
    <row r="79" customFormat="false" ht="15" hidden="false" customHeight="false" outlineLevel="0" collapsed="false">
      <c r="A79" s="5" t="n">
        <v>99</v>
      </c>
      <c r="B79" s="6" t="s">
        <v>26</v>
      </c>
      <c r="C79" s="6" t="s">
        <v>105</v>
      </c>
      <c r="D79" s="7" t="n">
        <v>45513</v>
      </c>
      <c r="E79" s="7" t="n">
        <v>45613</v>
      </c>
      <c r="F79" s="7" t="n">
        <v>45677</v>
      </c>
      <c r="G79" s="8" t="n">
        <v>47800000</v>
      </c>
      <c r="H79" s="8" t="n">
        <v>34600000</v>
      </c>
      <c r="I79" s="8" t="n">
        <v>8000000</v>
      </c>
      <c r="J79" s="9" t="str">
        <f aca="false">IF(F79="","",IFERROR(INDEX(設定!$A$8:$A$15,MATCH(F79,設定!$B$8:$B$15,1)),"対象外"))</f>
        <v>13期</v>
      </c>
      <c r="K79" s="9" t="str">
        <f aca="false">IF(F79="","未売却",IF(F79&lt;=設定!$B$3,"実績","予定"))</f>
        <v>実績</v>
      </c>
      <c r="L79" s="9" t="n">
        <f aca="false">IF(F79="",0,IF(OR(設定!$B$4="全て",K79="実績"),1,0))</f>
        <v>1</v>
      </c>
      <c r="M79" s="10" t="n">
        <f aca="false">IF(OR(G79="",H79=""),"",G79-H79-I79)</f>
        <v>5200000</v>
      </c>
      <c r="N79" s="11" t="n">
        <f aca="false">IF(M79="","",M79/G79)</f>
        <v>0.108786610878661</v>
      </c>
      <c r="O79" s="10" t="n">
        <f aca="false">IF(OR(D79="",F79=""),"",F79-D79)</f>
        <v>164</v>
      </c>
      <c r="P79" s="9" t="str">
        <f aca="false">IF(G79="","",IF(INT(G79/設定!$B$5)*設定!$B$5&gt;=100000000,TEXT(INT(G79/設定!$B$5)*設定!$B$5/100000000,"0.0")&amp;"億",TEXT(INT(G79/設定!$B$5)*設定!$B$5/10000,"#,##0")&amp;"万")&amp;"〜")</f>
        <v>0万〜</v>
      </c>
      <c r="Q79" s="5" t="n">
        <v>103</v>
      </c>
      <c r="R79" s="12"/>
    </row>
    <row r="80" customFormat="false" ht="15" hidden="false" customHeight="false" outlineLevel="0" collapsed="false">
      <c r="A80" s="5" t="n">
        <v>101</v>
      </c>
      <c r="B80" s="6" t="s">
        <v>50</v>
      </c>
      <c r="C80" s="6" t="s">
        <v>106</v>
      </c>
      <c r="D80" s="7" t="n">
        <v>45534</v>
      </c>
      <c r="E80" s="7" t="n">
        <v>45642</v>
      </c>
      <c r="F80" s="7" t="n">
        <v>45702</v>
      </c>
      <c r="G80" s="8" t="n">
        <v>48800000</v>
      </c>
      <c r="H80" s="8" t="n">
        <v>30000000</v>
      </c>
      <c r="I80" s="8" t="n">
        <v>3180000</v>
      </c>
      <c r="J80" s="9" t="str">
        <f aca="false">IF(F80="","",IFERROR(INDEX(設定!$A$8:$A$15,MATCH(F80,設定!$B$8:$B$15,1)),"対象外"))</f>
        <v>13期</v>
      </c>
      <c r="K80" s="9" t="str">
        <f aca="false">IF(F80="","未売却",IF(F80&lt;=設定!$B$3,"実績","予定"))</f>
        <v>実績</v>
      </c>
      <c r="L80" s="9" t="n">
        <f aca="false">IF(F80="",0,IF(OR(設定!$B$4="全て",K80="実績"),1,0))</f>
        <v>1</v>
      </c>
      <c r="M80" s="10" t="n">
        <f aca="false">IF(OR(G80="",H80=""),"",G80-H80-I80)</f>
        <v>15620000</v>
      </c>
      <c r="N80" s="11" t="n">
        <f aca="false">IF(M80="","",M80/G80)</f>
        <v>0.320081967213115</v>
      </c>
      <c r="O80" s="10" t="n">
        <f aca="false">IF(OR(D80="",F80=""),"",F80-D80)</f>
        <v>168</v>
      </c>
      <c r="P80" s="9" t="str">
        <f aca="false">IF(G80="","",IF(INT(G80/設定!$B$5)*設定!$B$5&gt;=100000000,TEXT(INT(G80/設定!$B$5)*設定!$B$5/100000000,"0.0")&amp;"億",TEXT(INT(G80/設定!$B$5)*設定!$B$5/10000,"#,##0")&amp;"万")&amp;"〜")</f>
        <v>0万〜</v>
      </c>
      <c r="Q80" s="5" t="n">
        <v>105</v>
      </c>
      <c r="R80" s="12"/>
    </row>
    <row r="81" customFormat="false" ht="15" hidden="false" customHeight="false" outlineLevel="0" collapsed="false">
      <c r="A81" s="5" t="n">
        <v>88</v>
      </c>
      <c r="B81" s="6" t="s">
        <v>23</v>
      </c>
      <c r="C81" s="6" t="s">
        <v>107</v>
      </c>
      <c r="D81" s="7" t="n">
        <v>45350</v>
      </c>
      <c r="E81" s="7" t="n">
        <v>45675</v>
      </c>
      <c r="F81" s="7" t="n">
        <v>45716</v>
      </c>
      <c r="G81" s="8" t="n">
        <v>28900000</v>
      </c>
      <c r="H81" s="8" t="n">
        <v>13900000</v>
      </c>
      <c r="I81" s="8" t="n">
        <v>10000000</v>
      </c>
      <c r="J81" s="9" t="str">
        <f aca="false">IF(F81="","",IFERROR(INDEX(設定!$A$8:$A$15,MATCH(F81,設定!$B$8:$B$15,1)),"対象外"))</f>
        <v>13期</v>
      </c>
      <c r="K81" s="9" t="str">
        <f aca="false">IF(F81="","未売却",IF(F81&lt;=設定!$B$3,"実績","予定"))</f>
        <v>実績</v>
      </c>
      <c r="L81" s="9" t="n">
        <f aca="false">IF(F81="",0,IF(OR(設定!$B$4="全て",K81="実績"),1,0))</f>
        <v>1</v>
      </c>
      <c r="M81" s="10" t="n">
        <f aca="false">IF(OR(G81="",H81=""),"",G81-H81-I81)</f>
        <v>5000000</v>
      </c>
      <c r="N81" s="11" t="n">
        <f aca="false">IF(M81="","",M81/G81)</f>
        <v>0.173010380622837</v>
      </c>
      <c r="O81" s="10" t="n">
        <f aca="false">IF(OR(D81="",F81=""),"",F81-D81)</f>
        <v>366</v>
      </c>
      <c r="P81" s="9" t="str">
        <f aca="false">IF(G81="","",IF(INT(G81/設定!$B$5)*設定!$B$5&gt;=100000000,TEXT(INT(G81/設定!$B$5)*設定!$B$5/100000000,"0.0")&amp;"億",TEXT(INT(G81/設定!$B$5)*設定!$B$5/10000,"#,##0")&amp;"万")&amp;"〜")</f>
        <v>0万〜</v>
      </c>
      <c r="Q81" s="5" t="n">
        <v>92</v>
      </c>
      <c r="R81" s="12"/>
    </row>
    <row r="82" customFormat="false" ht="15" hidden="false" customHeight="false" outlineLevel="0" collapsed="false">
      <c r="A82" s="5" t="n">
        <v>78</v>
      </c>
      <c r="B82" s="5" t="s">
        <v>20</v>
      </c>
      <c r="C82" s="6" t="s">
        <v>108</v>
      </c>
      <c r="D82" s="7" t="n">
        <v>45204</v>
      </c>
      <c r="E82" s="7" t="n">
        <v>45683</v>
      </c>
      <c r="F82" s="7" t="n">
        <v>45744</v>
      </c>
      <c r="G82" s="8" t="n">
        <v>54000000</v>
      </c>
      <c r="H82" s="8"/>
      <c r="I82" s="8" t="n">
        <v>6600000</v>
      </c>
      <c r="J82" s="9" t="str">
        <f aca="false">IF(F82="","",IFERROR(INDEX(設定!$A$8:$A$15,MATCH(F82,設定!$B$8:$B$15,1)),"対象外"))</f>
        <v>13期</v>
      </c>
      <c r="K82" s="9" t="str">
        <f aca="false">IF(F82="","未売却",IF(F82&lt;=設定!$B$3,"実績","予定"))</f>
        <v>実績</v>
      </c>
      <c r="L82" s="9" t="n">
        <f aca="false">IF(F82="",0,IF(OR(設定!$B$4="全て",K82="実績"),1,0))</f>
        <v>1</v>
      </c>
      <c r="M82" s="10" t="str">
        <f aca="false">IF(OR(G82="",H82=""),"",G82-H82-I82)</f>
        <v/>
      </c>
      <c r="N82" s="11" t="str">
        <f aca="false">IF(M82="","",M82/G82)</f>
        <v/>
      </c>
      <c r="O82" s="10" t="n">
        <f aca="false">IF(OR(D82="",F82=""),"",F82-D82)</f>
        <v>540</v>
      </c>
      <c r="P82" s="9" t="str">
        <f aca="false">IF(G82="","",IF(INT(G82/設定!$B$5)*設定!$B$5&gt;=100000000,TEXT(INT(G82/設定!$B$5)*設定!$B$5/100000000,"0.0")&amp;"億",TEXT(INT(G82/設定!$B$5)*設定!$B$5/10000,"#,##0")&amp;"万")&amp;"〜")</f>
        <v>5,000万〜</v>
      </c>
      <c r="Q82" s="5" t="n">
        <v>82</v>
      </c>
      <c r="R82" s="12" t="s">
        <v>22</v>
      </c>
    </row>
    <row r="83" customFormat="false" ht="15" hidden="false" customHeight="false" outlineLevel="0" collapsed="false">
      <c r="A83" s="5" t="n">
        <v>119</v>
      </c>
      <c r="B83" s="5" t="s">
        <v>58</v>
      </c>
      <c r="C83" s="6" t="s">
        <v>109</v>
      </c>
      <c r="D83" s="7" t="n">
        <v>45719</v>
      </c>
      <c r="E83" s="7" t="n">
        <v>45677</v>
      </c>
      <c r="F83" s="7" t="n">
        <v>45747</v>
      </c>
      <c r="G83" s="8" t="n">
        <v>102000000</v>
      </c>
      <c r="H83" s="8" t="n">
        <v>88700000</v>
      </c>
      <c r="I83" s="8" t="n">
        <v>0</v>
      </c>
      <c r="J83" s="9" t="str">
        <f aca="false">IF(F83="","",IFERROR(INDEX(設定!$A$8:$A$15,MATCH(F83,設定!$B$8:$B$15,1)),"対象外"))</f>
        <v>13期</v>
      </c>
      <c r="K83" s="9" t="str">
        <f aca="false">IF(F83="","未売却",IF(F83&lt;=設定!$B$3,"実績","予定"))</f>
        <v>実績</v>
      </c>
      <c r="L83" s="9" t="n">
        <f aca="false">IF(F83="",0,IF(OR(設定!$B$4="全て",K83="実績"),1,0))</f>
        <v>1</v>
      </c>
      <c r="M83" s="10" t="n">
        <f aca="false">IF(OR(G83="",H83=""),"",G83-H83-I83)</f>
        <v>13300000</v>
      </c>
      <c r="N83" s="11" t="n">
        <f aca="false">IF(M83="","",M83/G83)</f>
        <v>0.130392156862745</v>
      </c>
      <c r="O83" s="10" t="n">
        <f aca="false">IF(OR(D83="",F83=""),"",F83-D83)</f>
        <v>28</v>
      </c>
      <c r="P83" s="9" t="str">
        <f aca="false">IF(G83="","",IF(INT(G83/設定!$B$5)*設定!$B$5&gt;=100000000,TEXT(INT(G83/設定!$B$5)*設定!$B$5/100000000,"0.0")&amp;"億",TEXT(INT(G83/設定!$B$5)*設定!$B$5/10000,"#,##0")&amp;"万")&amp;"〜")</f>
        <v>1.0億〜</v>
      </c>
      <c r="Q83" s="5" t="n">
        <v>123</v>
      </c>
      <c r="R83" s="12"/>
    </row>
    <row r="84" customFormat="false" ht="15" hidden="false" customHeight="false" outlineLevel="0" collapsed="false">
      <c r="A84" s="5" t="n">
        <v>114</v>
      </c>
      <c r="B84" s="6" t="s">
        <v>26</v>
      </c>
      <c r="C84" s="6" t="s">
        <v>110</v>
      </c>
      <c r="D84" s="7" t="n">
        <v>45641</v>
      </c>
      <c r="E84" s="7" t="n">
        <v>45716</v>
      </c>
      <c r="F84" s="7" t="n">
        <v>45775</v>
      </c>
      <c r="G84" s="8" t="n">
        <v>44800000</v>
      </c>
      <c r="H84" s="8" t="n">
        <v>24200000</v>
      </c>
      <c r="I84" s="8" t="n">
        <v>13000000</v>
      </c>
      <c r="J84" s="9" t="str">
        <f aca="false">IF(F84="","",IFERROR(INDEX(設定!$A$8:$A$15,MATCH(F84,設定!$B$8:$B$15,1)),"対象外"))</f>
        <v>13期</v>
      </c>
      <c r="K84" s="9" t="str">
        <f aca="false">IF(F84="","未売却",IF(F84&lt;=設定!$B$3,"実績","予定"))</f>
        <v>実績</v>
      </c>
      <c r="L84" s="9" t="n">
        <f aca="false">IF(F84="",0,IF(OR(設定!$B$4="全て",K84="実績"),1,0))</f>
        <v>1</v>
      </c>
      <c r="M84" s="10" t="n">
        <f aca="false">IF(OR(G84="",H84=""),"",G84-H84-I84)</f>
        <v>7600000</v>
      </c>
      <c r="N84" s="11" t="n">
        <f aca="false">IF(M84="","",M84/G84)</f>
        <v>0.169642857142857</v>
      </c>
      <c r="O84" s="10" t="n">
        <f aca="false">IF(OR(D84="",F84=""),"",F84-D84)</f>
        <v>134</v>
      </c>
      <c r="P84" s="9" t="str">
        <f aca="false">IF(G84="","",IF(INT(G84/設定!$B$5)*設定!$B$5&gt;=100000000,TEXT(INT(G84/設定!$B$5)*設定!$B$5/100000000,"0.0")&amp;"億",TEXT(INT(G84/設定!$B$5)*設定!$B$5/10000,"#,##0")&amp;"万")&amp;"〜")</f>
        <v>0万〜</v>
      </c>
      <c r="Q84" s="5" t="n">
        <v>118</v>
      </c>
      <c r="R84" s="12"/>
    </row>
    <row r="85" customFormat="false" ht="15" hidden="false" customHeight="false" outlineLevel="0" collapsed="false">
      <c r="A85" s="5" t="n">
        <v>92</v>
      </c>
      <c r="B85" s="6" t="s">
        <v>23</v>
      </c>
      <c r="C85" s="6" t="s">
        <v>111</v>
      </c>
      <c r="D85" s="7" t="n">
        <v>45366</v>
      </c>
      <c r="E85" s="7" t="n">
        <v>45736</v>
      </c>
      <c r="F85" s="7" t="n">
        <v>45803</v>
      </c>
      <c r="G85" s="8" t="n">
        <v>41000000</v>
      </c>
      <c r="H85" s="8" t="n">
        <v>32000000</v>
      </c>
      <c r="I85" s="8" t="n">
        <v>6000000</v>
      </c>
      <c r="J85" s="9" t="str">
        <f aca="false">IF(F85="","",IFERROR(INDEX(設定!$A$8:$A$15,MATCH(F85,設定!$B$8:$B$15,1)),"対象外"))</f>
        <v>13期</v>
      </c>
      <c r="K85" s="9" t="str">
        <f aca="false">IF(F85="","未売却",IF(F85&lt;=設定!$B$3,"実績","予定"))</f>
        <v>実績</v>
      </c>
      <c r="L85" s="9" t="n">
        <f aca="false">IF(F85="",0,IF(OR(設定!$B$4="全て",K85="実績"),1,0))</f>
        <v>1</v>
      </c>
      <c r="M85" s="10" t="n">
        <f aca="false">IF(OR(G85="",H85=""),"",G85-H85-I85)</f>
        <v>3000000</v>
      </c>
      <c r="N85" s="11" t="n">
        <f aca="false">IF(M85="","",M85/G85)</f>
        <v>0.0731707317073171</v>
      </c>
      <c r="O85" s="10" t="n">
        <f aca="false">IF(OR(D85="",F85=""),"",F85-D85)</f>
        <v>437</v>
      </c>
      <c r="P85" s="9" t="str">
        <f aca="false">IF(G85="","",IF(INT(G85/設定!$B$5)*設定!$B$5&gt;=100000000,TEXT(INT(G85/設定!$B$5)*設定!$B$5/100000000,"0.0")&amp;"億",TEXT(INT(G85/設定!$B$5)*設定!$B$5/10000,"#,##0")&amp;"万")&amp;"〜")</f>
        <v>0万〜</v>
      </c>
      <c r="Q85" s="5" t="n">
        <v>96</v>
      </c>
      <c r="R85" s="12"/>
    </row>
    <row r="86" customFormat="false" ht="15" hidden="false" customHeight="false" outlineLevel="0" collapsed="false">
      <c r="A86" s="5" t="n">
        <v>93</v>
      </c>
      <c r="B86" s="6" t="s">
        <v>23</v>
      </c>
      <c r="C86" s="6" t="s">
        <v>112</v>
      </c>
      <c r="D86" s="7" t="n">
        <v>45366</v>
      </c>
      <c r="E86" s="7" t="n">
        <v>45736</v>
      </c>
      <c r="F86" s="7" t="n">
        <v>45803</v>
      </c>
      <c r="G86" s="8" t="n">
        <v>41000000</v>
      </c>
      <c r="H86" s="8" t="n">
        <v>32000000</v>
      </c>
      <c r="I86" s="8" t="n">
        <v>0</v>
      </c>
      <c r="J86" s="9" t="str">
        <f aca="false">IF(F86="","",IFERROR(INDEX(設定!$A$8:$A$15,MATCH(F86,設定!$B$8:$B$15,1)),"対象外"))</f>
        <v>13期</v>
      </c>
      <c r="K86" s="9" t="str">
        <f aca="false">IF(F86="","未売却",IF(F86&lt;=設定!$B$3,"実績","予定"))</f>
        <v>実績</v>
      </c>
      <c r="L86" s="9" t="n">
        <f aca="false">IF(F86="",0,IF(OR(設定!$B$4="全て",K86="実績"),1,0))</f>
        <v>1</v>
      </c>
      <c r="M86" s="10" t="n">
        <f aca="false">IF(OR(G86="",H86=""),"",G86-H86-I86)</f>
        <v>9000000</v>
      </c>
      <c r="N86" s="11" t="n">
        <f aca="false">IF(M86="","",M86/G86)</f>
        <v>0.219512195121951</v>
      </c>
      <c r="O86" s="10" t="n">
        <f aca="false">IF(OR(D86="",F86=""),"",F86-D86)</f>
        <v>437</v>
      </c>
      <c r="P86" s="9" t="str">
        <f aca="false">IF(G86="","",IF(INT(G86/設定!$B$5)*設定!$B$5&gt;=100000000,TEXT(INT(G86/設定!$B$5)*設定!$B$5/100000000,"0.0")&amp;"億",TEXT(INT(G86/設定!$B$5)*設定!$B$5/10000,"#,##0")&amp;"万")&amp;"〜")</f>
        <v>0万〜</v>
      </c>
      <c r="Q86" s="5" t="n">
        <v>97</v>
      </c>
      <c r="R86" s="12"/>
    </row>
    <row r="87" customFormat="false" ht="15" hidden="false" customHeight="false" outlineLevel="0" collapsed="false">
      <c r="A87" s="5" t="n">
        <v>117</v>
      </c>
      <c r="B87" s="6" t="s">
        <v>42</v>
      </c>
      <c r="C87" s="6" t="s">
        <v>113</v>
      </c>
      <c r="D87" s="7" t="n">
        <v>45629</v>
      </c>
      <c r="E87" s="7" t="n">
        <v>45745</v>
      </c>
      <c r="F87" s="7" t="n">
        <v>45806</v>
      </c>
      <c r="G87" s="8" t="n">
        <v>6800000</v>
      </c>
      <c r="H87" s="8" t="n">
        <v>2800000</v>
      </c>
      <c r="I87" s="8" t="n">
        <v>8349000</v>
      </c>
      <c r="J87" s="9" t="str">
        <f aca="false">IF(F87="","",IFERROR(INDEX(設定!$A$8:$A$15,MATCH(F87,設定!$B$8:$B$15,1)),"対象外"))</f>
        <v>13期</v>
      </c>
      <c r="K87" s="9" t="str">
        <f aca="false">IF(F87="","未売却",IF(F87&lt;=設定!$B$3,"実績","予定"))</f>
        <v>実績</v>
      </c>
      <c r="L87" s="9" t="n">
        <f aca="false">IF(F87="",0,IF(OR(設定!$B$4="全て",K87="実績"),1,0))</f>
        <v>1</v>
      </c>
      <c r="M87" s="10" t="n">
        <f aca="false">IF(OR(G87="",H87=""),"",G87-H87-I87)</f>
        <v>-4349000</v>
      </c>
      <c r="N87" s="11" t="n">
        <f aca="false">IF(M87="","",M87/G87)</f>
        <v>-0.639558823529412</v>
      </c>
      <c r="O87" s="10" t="n">
        <f aca="false">IF(OR(D87="",F87=""),"",F87-D87)</f>
        <v>177</v>
      </c>
      <c r="P87" s="9" t="str">
        <f aca="false">IF(G87="","",IF(INT(G87/設定!$B$5)*設定!$B$5&gt;=100000000,TEXT(INT(G87/設定!$B$5)*設定!$B$5/100000000,"0.0")&amp;"億",TEXT(INT(G87/設定!$B$5)*設定!$B$5/10000,"#,##0")&amp;"万")&amp;"〜")</f>
        <v>0万〜</v>
      </c>
      <c r="Q87" s="5" t="n">
        <v>121</v>
      </c>
      <c r="R87" s="12" t="s">
        <v>64</v>
      </c>
    </row>
    <row r="88" customFormat="false" ht="15" hidden="false" customHeight="false" outlineLevel="0" collapsed="false">
      <c r="A88" s="5" t="n">
        <v>106</v>
      </c>
      <c r="B88" s="6" t="s">
        <v>93</v>
      </c>
      <c r="C88" s="6" t="s">
        <v>114</v>
      </c>
      <c r="D88" s="7" t="n">
        <v>45535</v>
      </c>
      <c r="E88" s="7" t="n">
        <v>45704</v>
      </c>
      <c r="F88" s="7" t="n">
        <v>45808</v>
      </c>
      <c r="G88" s="8" t="n">
        <v>43900000</v>
      </c>
      <c r="H88" s="8" t="n">
        <v>28500000</v>
      </c>
      <c r="I88" s="8" t="n">
        <v>14370000</v>
      </c>
      <c r="J88" s="9" t="str">
        <f aca="false">IF(F88="","",IFERROR(INDEX(設定!$A$8:$A$15,MATCH(F88,設定!$B$8:$B$15,1)),"対象外"))</f>
        <v>13期</v>
      </c>
      <c r="K88" s="9" t="str">
        <f aca="false">IF(F88="","未売却",IF(F88&lt;=設定!$B$3,"実績","予定"))</f>
        <v>実績</v>
      </c>
      <c r="L88" s="9" t="n">
        <f aca="false">IF(F88="",0,IF(OR(設定!$B$4="全て",K88="実績"),1,0))</f>
        <v>1</v>
      </c>
      <c r="M88" s="10" t="n">
        <f aca="false">IF(OR(G88="",H88=""),"",G88-H88-I88)</f>
        <v>1030000</v>
      </c>
      <c r="N88" s="11" t="n">
        <f aca="false">IF(M88="","",M88/G88)</f>
        <v>0.0234624145785877</v>
      </c>
      <c r="O88" s="10" t="n">
        <f aca="false">IF(OR(D88="",F88=""),"",F88-D88)</f>
        <v>273</v>
      </c>
      <c r="P88" s="9" t="str">
        <f aca="false">IF(G88="","",IF(INT(G88/設定!$B$5)*設定!$B$5&gt;=100000000,TEXT(INT(G88/設定!$B$5)*設定!$B$5/100000000,"0.0")&amp;"億",TEXT(INT(G88/設定!$B$5)*設定!$B$5/10000,"#,##0")&amp;"万")&amp;"〜")</f>
        <v>0万〜</v>
      </c>
      <c r="Q88" s="5" t="n">
        <v>110</v>
      </c>
      <c r="R88" s="12"/>
    </row>
    <row r="89" customFormat="false" ht="15" hidden="false" customHeight="false" outlineLevel="0" collapsed="false">
      <c r="A89" s="5" t="n">
        <v>122</v>
      </c>
      <c r="B89" s="6" t="s">
        <v>42</v>
      </c>
      <c r="C89" s="6" t="s">
        <v>115</v>
      </c>
      <c r="D89" s="7" t="n">
        <v>45744</v>
      </c>
      <c r="E89" s="7" t="n">
        <v>45790</v>
      </c>
      <c r="F89" s="7" t="n">
        <v>45818</v>
      </c>
      <c r="G89" s="8" t="n">
        <v>140000000</v>
      </c>
      <c r="H89" s="8" t="n">
        <v>114100000</v>
      </c>
      <c r="I89" s="8" t="n">
        <v>700000</v>
      </c>
      <c r="J89" s="9" t="str">
        <f aca="false">IF(F89="","",IFERROR(INDEX(設定!$A$8:$A$15,MATCH(F89,設定!$B$8:$B$15,1)),"対象外"))</f>
        <v>13期</v>
      </c>
      <c r="K89" s="9" t="str">
        <f aca="false">IF(F89="","未売却",IF(F89&lt;=設定!$B$3,"実績","予定"))</f>
        <v>実績</v>
      </c>
      <c r="L89" s="9" t="n">
        <f aca="false">IF(F89="",0,IF(OR(設定!$B$4="全て",K89="実績"),1,0))</f>
        <v>1</v>
      </c>
      <c r="M89" s="10" t="n">
        <f aca="false">IF(OR(G89="",H89=""),"",G89-H89-I89)</f>
        <v>25200000</v>
      </c>
      <c r="N89" s="11" t="n">
        <f aca="false">IF(M89="","",M89/G89)</f>
        <v>0.18</v>
      </c>
      <c r="O89" s="10" t="n">
        <f aca="false">IF(OR(D89="",F89=""),"",F89-D89)</f>
        <v>74</v>
      </c>
      <c r="P89" s="9" t="str">
        <f aca="false">IF(G89="","",IF(INT(G89/設定!$B$5)*設定!$B$5&gt;=100000000,TEXT(INT(G89/設定!$B$5)*設定!$B$5/100000000,"0.0")&amp;"億",TEXT(INT(G89/設定!$B$5)*設定!$B$5/10000,"#,##0")&amp;"万")&amp;"〜")</f>
        <v>1.0億〜</v>
      </c>
      <c r="Q89" s="5" t="n">
        <v>126</v>
      </c>
      <c r="R89" s="12"/>
    </row>
    <row r="90" customFormat="false" ht="15" hidden="false" customHeight="false" outlineLevel="0" collapsed="false">
      <c r="A90" s="5" t="n">
        <v>123</v>
      </c>
      <c r="B90" s="6" t="s">
        <v>42</v>
      </c>
      <c r="C90" s="6" t="s">
        <v>116</v>
      </c>
      <c r="D90" s="7" t="n">
        <v>45744</v>
      </c>
      <c r="E90" s="7" t="n">
        <v>45790</v>
      </c>
      <c r="F90" s="7" t="n">
        <v>45818</v>
      </c>
      <c r="G90" s="8" t="n">
        <v>103500000</v>
      </c>
      <c r="H90" s="8" t="n">
        <v>78100000</v>
      </c>
      <c r="I90" s="8" t="n">
        <v>0</v>
      </c>
      <c r="J90" s="9" t="str">
        <f aca="false">IF(F90="","",IFERROR(INDEX(設定!$A$8:$A$15,MATCH(F90,設定!$B$8:$B$15,1)),"対象外"))</f>
        <v>13期</v>
      </c>
      <c r="K90" s="9" t="str">
        <f aca="false">IF(F90="","未売却",IF(F90&lt;=設定!$B$3,"実績","予定"))</f>
        <v>実績</v>
      </c>
      <c r="L90" s="9" t="n">
        <f aca="false">IF(F90="",0,IF(OR(設定!$B$4="全て",K90="実績"),1,0))</f>
        <v>1</v>
      </c>
      <c r="M90" s="10" t="n">
        <f aca="false">IF(OR(G90="",H90=""),"",G90-H90-I90)</f>
        <v>25400000</v>
      </c>
      <c r="N90" s="11" t="n">
        <f aca="false">IF(M90="","",M90/G90)</f>
        <v>0.245410628019324</v>
      </c>
      <c r="O90" s="10" t="n">
        <f aca="false">IF(OR(D90="",F90=""),"",F90-D90)</f>
        <v>74</v>
      </c>
      <c r="P90" s="9" t="str">
        <f aca="false">IF(G90="","",IF(INT(G90/設定!$B$5)*設定!$B$5&gt;=100000000,TEXT(INT(G90/設定!$B$5)*設定!$B$5/100000000,"0.0")&amp;"億",TEXT(INT(G90/設定!$B$5)*設定!$B$5/10000,"#,##0")&amp;"万")&amp;"〜")</f>
        <v>1.0億〜</v>
      </c>
      <c r="Q90" s="5" t="n">
        <v>127</v>
      </c>
      <c r="R90" s="12"/>
    </row>
    <row r="91" customFormat="false" ht="15" hidden="false" customHeight="false" outlineLevel="0" collapsed="false">
      <c r="A91" s="5" t="n">
        <v>91</v>
      </c>
      <c r="B91" s="6" t="s">
        <v>23</v>
      </c>
      <c r="C91" s="6" t="s">
        <v>117</v>
      </c>
      <c r="D91" s="7" t="n">
        <v>45313</v>
      </c>
      <c r="E91" s="7" t="n">
        <v>45802</v>
      </c>
      <c r="F91" s="7" t="n">
        <v>45838</v>
      </c>
      <c r="G91" s="8" t="n">
        <v>43900000</v>
      </c>
      <c r="H91" s="8" t="n">
        <v>14100000</v>
      </c>
      <c r="I91" s="8" t="n">
        <v>23110000</v>
      </c>
      <c r="J91" s="9" t="str">
        <f aca="false">IF(F91="","",IFERROR(INDEX(設定!$A$8:$A$15,MATCH(F91,設定!$B$8:$B$15,1)),"対象外"))</f>
        <v>13期</v>
      </c>
      <c r="K91" s="9" t="str">
        <f aca="false">IF(F91="","未売却",IF(F91&lt;=設定!$B$3,"実績","予定"))</f>
        <v>実績</v>
      </c>
      <c r="L91" s="9" t="n">
        <f aca="false">IF(F91="",0,IF(OR(設定!$B$4="全て",K91="実績"),1,0))</f>
        <v>1</v>
      </c>
      <c r="M91" s="10" t="n">
        <f aca="false">IF(OR(G91="",H91=""),"",G91-H91-I91)</f>
        <v>6690000</v>
      </c>
      <c r="N91" s="11" t="n">
        <f aca="false">IF(M91="","",M91/G91)</f>
        <v>0.152391799544419</v>
      </c>
      <c r="O91" s="10" t="n">
        <f aca="false">IF(OR(D91="",F91=""),"",F91-D91)</f>
        <v>525</v>
      </c>
      <c r="P91" s="9" t="str">
        <f aca="false">IF(G91="","",IF(INT(G91/設定!$B$5)*設定!$B$5&gt;=100000000,TEXT(INT(G91/設定!$B$5)*設定!$B$5/100000000,"0.0")&amp;"億",TEXT(INT(G91/設定!$B$5)*設定!$B$5/10000,"#,##0")&amp;"万")&amp;"〜")</f>
        <v>0万〜</v>
      </c>
      <c r="Q91" s="5" t="n">
        <v>95</v>
      </c>
      <c r="R91" s="12"/>
    </row>
    <row r="92" customFormat="false" ht="15" hidden="false" customHeight="false" outlineLevel="0" collapsed="false">
      <c r="A92" s="5" t="n">
        <v>128</v>
      </c>
      <c r="B92" s="6" t="s">
        <v>69</v>
      </c>
      <c r="C92" s="6" t="s">
        <v>118</v>
      </c>
      <c r="D92" s="7" t="n">
        <v>45838</v>
      </c>
      <c r="E92" s="7" t="n">
        <v>45786</v>
      </c>
      <c r="F92" s="7" t="n">
        <v>45838</v>
      </c>
      <c r="G92" s="8" t="n">
        <v>110000000</v>
      </c>
      <c r="H92" s="8" t="n">
        <v>94700000</v>
      </c>
      <c r="I92" s="8" t="n">
        <v>5500000</v>
      </c>
      <c r="J92" s="9" t="str">
        <f aca="false">IF(F92="","",IFERROR(INDEX(設定!$A$8:$A$15,MATCH(F92,設定!$B$8:$B$15,1)),"対象外"))</f>
        <v>13期</v>
      </c>
      <c r="K92" s="9" t="str">
        <f aca="false">IF(F92="","未売却",IF(F92&lt;=設定!$B$3,"実績","予定"))</f>
        <v>実績</v>
      </c>
      <c r="L92" s="9" t="n">
        <f aca="false">IF(F92="",0,IF(OR(設定!$B$4="全て",K92="実績"),1,0))</f>
        <v>1</v>
      </c>
      <c r="M92" s="10" t="n">
        <f aca="false">IF(OR(G92="",H92=""),"",G92-H92-I92)</f>
        <v>9800000</v>
      </c>
      <c r="N92" s="11" t="n">
        <f aca="false">IF(M92="","",M92/G92)</f>
        <v>0.0890909090909091</v>
      </c>
      <c r="O92" s="10" t="n">
        <f aca="false">IF(OR(D92="",F92=""),"",F92-D92)</f>
        <v>0</v>
      </c>
      <c r="P92" s="9" t="str">
        <f aca="false">IF(G92="","",IF(INT(G92/設定!$B$5)*設定!$B$5&gt;=100000000,TEXT(INT(G92/設定!$B$5)*設定!$B$5/100000000,"0.0")&amp;"億",TEXT(INT(G92/設定!$B$5)*設定!$B$5/10000,"#,##0")&amp;"万")&amp;"〜")</f>
        <v>1.0億〜</v>
      </c>
      <c r="Q92" s="5" t="n">
        <v>132</v>
      </c>
      <c r="R92" s="12"/>
    </row>
    <row r="93" customFormat="false" ht="15" hidden="false" customHeight="false" outlineLevel="0" collapsed="false">
      <c r="A93" s="5" t="n">
        <v>120</v>
      </c>
      <c r="B93" s="6" t="s">
        <v>50</v>
      </c>
      <c r="C93" s="6" t="s">
        <v>119</v>
      </c>
      <c r="D93" s="7" t="n">
        <v>45777</v>
      </c>
      <c r="E93" s="7" t="n">
        <v>45794</v>
      </c>
      <c r="F93" s="7" t="n">
        <v>45845</v>
      </c>
      <c r="G93" s="8" t="n">
        <v>41800000</v>
      </c>
      <c r="H93" s="8" t="n">
        <v>30500000</v>
      </c>
      <c r="I93" s="8" t="n">
        <v>8390000</v>
      </c>
      <c r="J93" s="9" t="str">
        <f aca="false">IF(F93="","",IFERROR(INDEX(設定!$A$8:$A$15,MATCH(F93,設定!$B$8:$B$15,1)),"対象外"))</f>
        <v>13期</v>
      </c>
      <c r="K93" s="9" t="str">
        <f aca="false">IF(F93="","未売却",IF(F93&lt;=設定!$B$3,"実績","予定"))</f>
        <v>実績</v>
      </c>
      <c r="L93" s="9" t="n">
        <f aca="false">IF(F93="",0,IF(OR(設定!$B$4="全て",K93="実績"),1,0))</f>
        <v>1</v>
      </c>
      <c r="M93" s="10" t="n">
        <f aca="false">IF(OR(G93="",H93=""),"",G93-H93-I93)</f>
        <v>2910000</v>
      </c>
      <c r="N93" s="11" t="n">
        <f aca="false">IF(M93="","",M93/G93)</f>
        <v>0.0696172248803828</v>
      </c>
      <c r="O93" s="10" t="n">
        <f aca="false">IF(OR(D93="",F93=""),"",F93-D93)</f>
        <v>68</v>
      </c>
      <c r="P93" s="9" t="str">
        <f aca="false">IF(G93="","",IF(INT(G93/設定!$B$5)*設定!$B$5&gt;=100000000,TEXT(INT(G93/設定!$B$5)*設定!$B$5/100000000,"0.0")&amp;"億",TEXT(INT(G93/設定!$B$5)*設定!$B$5/10000,"#,##0")&amp;"万")&amp;"〜")</f>
        <v>0万〜</v>
      </c>
      <c r="Q93" s="5" t="n">
        <v>124</v>
      </c>
      <c r="R93" s="12"/>
    </row>
    <row r="94" customFormat="false" ht="15" hidden="false" customHeight="false" outlineLevel="0" collapsed="false">
      <c r="A94" s="5" t="n">
        <v>125</v>
      </c>
      <c r="B94" s="6" t="s">
        <v>93</v>
      </c>
      <c r="C94" s="6" t="s">
        <v>120</v>
      </c>
      <c r="D94" s="7" t="n">
        <v>45535</v>
      </c>
      <c r="E94" s="7" t="n">
        <v>45823</v>
      </c>
      <c r="F94" s="7" t="n">
        <v>45866</v>
      </c>
      <c r="G94" s="8" t="n">
        <v>41000000</v>
      </c>
      <c r="H94" s="8" t="n">
        <v>28500000</v>
      </c>
      <c r="I94" s="8" t="n">
        <v>0</v>
      </c>
      <c r="J94" s="9" t="str">
        <f aca="false">IF(F94="","",IFERROR(INDEX(設定!$A$8:$A$15,MATCH(F94,設定!$B$8:$B$15,1)),"対象外"))</f>
        <v>13期</v>
      </c>
      <c r="K94" s="9" t="str">
        <f aca="false">IF(F94="","未売却",IF(F94&lt;=設定!$B$3,"実績","予定"))</f>
        <v>実績</v>
      </c>
      <c r="L94" s="9" t="n">
        <f aca="false">IF(F94="",0,IF(OR(設定!$B$4="全て",K94="実績"),1,0))</f>
        <v>1</v>
      </c>
      <c r="M94" s="10" t="n">
        <f aca="false">IF(OR(G94="",H94=""),"",G94-H94-I94)</f>
        <v>12500000</v>
      </c>
      <c r="N94" s="11" t="n">
        <f aca="false">IF(M94="","",M94/G94)</f>
        <v>0.304878048780488</v>
      </c>
      <c r="O94" s="10" t="n">
        <f aca="false">IF(OR(D94="",F94=""),"",F94-D94)</f>
        <v>331</v>
      </c>
      <c r="P94" s="9" t="str">
        <f aca="false">IF(G94="","",IF(INT(G94/設定!$B$5)*設定!$B$5&gt;=100000000,TEXT(INT(G94/設定!$B$5)*設定!$B$5/100000000,"0.0")&amp;"億",TEXT(INT(G94/設定!$B$5)*設定!$B$5/10000,"#,##0")&amp;"万")&amp;"〜")</f>
        <v>0万〜</v>
      </c>
      <c r="Q94" s="5" t="n">
        <v>129</v>
      </c>
      <c r="R94" s="12"/>
    </row>
    <row r="95" customFormat="false" ht="15" hidden="false" customHeight="false" outlineLevel="0" collapsed="false">
      <c r="A95" s="5" t="n">
        <v>126</v>
      </c>
      <c r="B95" s="6" t="s">
        <v>50</v>
      </c>
      <c r="C95" s="6" t="s">
        <v>121</v>
      </c>
      <c r="D95" s="7" t="n">
        <v>45828</v>
      </c>
      <c r="E95" s="7" t="n">
        <v>45806</v>
      </c>
      <c r="F95" s="7" t="n">
        <v>45867</v>
      </c>
      <c r="G95" s="8" t="n">
        <v>97800000</v>
      </c>
      <c r="H95" s="8" t="n">
        <v>73980000</v>
      </c>
      <c r="I95" s="8" t="n">
        <v>500000</v>
      </c>
      <c r="J95" s="9" t="str">
        <f aca="false">IF(F95="","",IFERROR(INDEX(設定!$A$8:$A$15,MATCH(F95,設定!$B$8:$B$15,1)),"対象外"))</f>
        <v>13期</v>
      </c>
      <c r="K95" s="9" t="str">
        <f aca="false">IF(F95="","未売却",IF(F95&lt;=設定!$B$3,"実績","予定"))</f>
        <v>実績</v>
      </c>
      <c r="L95" s="9" t="n">
        <f aca="false">IF(F95="",0,IF(OR(設定!$B$4="全て",K95="実績"),1,0))</f>
        <v>1</v>
      </c>
      <c r="M95" s="10" t="n">
        <f aca="false">IF(OR(G95="",H95=""),"",G95-H95-I95)</f>
        <v>23320000</v>
      </c>
      <c r="N95" s="11" t="n">
        <f aca="false">IF(M95="","",M95/G95)</f>
        <v>0.238445807770961</v>
      </c>
      <c r="O95" s="10" t="n">
        <f aca="false">IF(OR(D95="",F95=""),"",F95-D95)</f>
        <v>39</v>
      </c>
      <c r="P95" s="9" t="str">
        <f aca="false">IF(G95="","",IF(INT(G95/設定!$B$5)*設定!$B$5&gt;=100000000,TEXT(INT(G95/設定!$B$5)*設定!$B$5/100000000,"0.0")&amp;"億",TEXT(INT(G95/設定!$B$5)*設定!$B$5/10000,"#,##0")&amp;"万")&amp;"〜")</f>
        <v>5,000万〜</v>
      </c>
      <c r="Q95" s="5" t="n">
        <v>130</v>
      </c>
      <c r="R95" s="12"/>
    </row>
    <row r="96" customFormat="false" ht="15" hidden="false" customHeight="false" outlineLevel="0" collapsed="false">
      <c r="A96" s="5" t="n">
        <v>97</v>
      </c>
      <c r="B96" s="5" t="s">
        <v>122</v>
      </c>
      <c r="C96" s="6" t="s">
        <v>123</v>
      </c>
      <c r="D96" s="7" t="n">
        <v>45427</v>
      </c>
      <c r="E96" s="7" t="n">
        <v>45836</v>
      </c>
      <c r="F96" s="7" t="n">
        <v>45873</v>
      </c>
      <c r="G96" s="8" t="n">
        <v>320000000</v>
      </c>
      <c r="H96" s="8" t="n">
        <v>158000000</v>
      </c>
      <c r="I96" s="8" t="n">
        <v>84250000</v>
      </c>
      <c r="J96" s="9" t="str">
        <f aca="false">IF(F96="","",IFERROR(INDEX(設定!$A$8:$A$15,MATCH(F96,設定!$B$8:$B$15,1)),"対象外"))</f>
        <v>13期</v>
      </c>
      <c r="K96" s="9" t="str">
        <f aca="false">IF(F96="","未売却",IF(F96&lt;=設定!$B$3,"実績","予定"))</f>
        <v>実績</v>
      </c>
      <c r="L96" s="9" t="n">
        <f aca="false">IF(F96="",0,IF(OR(設定!$B$4="全て",K96="実績"),1,0))</f>
        <v>1</v>
      </c>
      <c r="M96" s="10" t="n">
        <f aca="false">IF(OR(G96="",H96=""),"",G96-H96-I96)</f>
        <v>77750000</v>
      </c>
      <c r="N96" s="11" t="n">
        <f aca="false">IF(M96="","",M96/G96)</f>
        <v>0.24296875</v>
      </c>
      <c r="O96" s="10" t="n">
        <f aca="false">IF(OR(D96="",F96=""),"",F96-D96)</f>
        <v>446</v>
      </c>
      <c r="P96" s="9" t="str">
        <f aca="false">IF(G96="","",IF(INT(G96/設定!$B$5)*設定!$B$5&gt;=100000000,TEXT(INT(G96/設定!$B$5)*設定!$B$5/100000000,"0.0")&amp;"億",TEXT(INT(G96/設定!$B$5)*設定!$B$5/10000,"#,##0")&amp;"万")&amp;"〜")</f>
        <v>3.0億〜</v>
      </c>
      <c r="Q96" s="5" t="n">
        <v>101</v>
      </c>
      <c r="R96" s="12"/>
    </row>
    <row r="97" customFormat="false" ht="15" hidden="false" customHeight="false" outlineLevel="0" collapsed="false">
      <c r="A97" s="5" t="n">
        <v>103</v>
      </c>
      <c r="B97" s="6" t="s">
        <v>23</v>
      </c>
      <c r="C97" s="6" t="s">
        <v>124</v>
      </c>
      <c r="D97" s="7" t="n">
        <v>45565</v>
      </c>
      <c r="E97" s="7" t="n">
        <v>45796</v>
      </c>
      <c r="F97" s="7" t="n">
        <v>45894</v>
      </c>
      <c r="G97" s="8" t="n">
        <v>56000000</v>
      </c>
      <c r="H97" s="8" t="n">
        <v>29100000</v>
      </c>
      <c r="I97" s="8" t="n">
        <v>22000000</v>
      </c>
      <c r="J97" s="9" t="str">
        <f aca="false">IF(F97="","",IFERROR(INDEX(設定!$A$8:$A$15,MATCH(F97,設定!$B$8:$B$15,1)),"対象外"))</f>
        <v>13期</v>
      </c>
      <c r="K97" s="9" t="str">
        <f aca="false">IF(F97="","未売却",IF(F97&lt;=設定!$B$3,"実績","予定"))</f>
        <v>実績</v>
      </c>
      <c r="L97" s="9" t="n">
        <f aca="false">IF(F97="",0,IF(OR(設定!$B$4="全て",K97="実績"),1,0))</f>
        <v>1</v>
      </c>
      <c r="M97" s="10" t="n">
        <f aca="false">IF(OR(G97="",H97=""),"",G97-H97-I97)</f>
        <v>4900000</v>
      </c>
      <c r="N97" s="11" t="n">
        <f aca="false">IF(M97="","",M97/G97)</f>
        <v>0.0875</v>
      </c>
      <c r="O97" s="10" t="n">
        <f aca="false">IF(OR(D97="",F97=""),"",F97-D97)</f>
        <v>329</v>
      </c>
      <c r="P97" s="9" t="str">
        <f aca="false">IF(G97="","",IF(INT(G97/設定!$B$5)*設定!$B$5&gt;=100000000,TEXT(INT(G97/設定!$B$5)*設定!$B$5/100000000,"0.0")&amp;"億",TEXT(INT(G97/設定!$B$5)*設定!$B$5/10000,"#,##0")&amp;"万")&amp;"〜")</f>
        <v>5,000万〜</v>
      </c>
      <c r="Q97" s="5" t="n">
        <v>107</v>
      </c>
      <c r="R97" s="12"/>
    </row>
    <row r="98" customFormat="false" ht="15" hidden="false" customHeight="false" outlineLevel="0" collapsed="false">
      <c r="A98" s="5" t="n">
        <v>118</v>
      </c>
      <c r="B98" s="6" t="s">
        <v>93</v>
      </c>
      <c r="C98" s="6" t="s">
        <v>125</v>
      </c>
      <c r="D98" s="7" t="n">
        <v>45653</v>
      </c>
      <c r="E98" s="7" t="n">
        <v>45836</v>
      </c>
      <c r="F98" s="7" t="n">
        <v>45894</v>
      </c>
      <c r="G98" s="8" t="n">
        <v>42800000</v>
      </c>
      <c r="H98" s="8" t="n">
        <v>37100000</v>
      </c>
      <c r="I98" s="8" t="n">
        <v>0</v>
      </c>
      <c r="J98" s="9" t="str">
        <f aca="false">IF(F98="","",IFERROR(INDEX(設定!$A$8:$A$15,MATCH(F98,設定!$B$8:$B$15,1)),"対象外"))</f>
        <v>13期</v>
      </c>
      <c r="K98" s="9" t="str">
        <f aca="false">IF(F98="","未売却",IF(F98&lt;=設定!$B$3,"実績","予定"))</f>
        <v>実績</v>
      </c>
      <c r="L98" s="9" t="n">
        <f aca="false">IF(F98="",0,IF(OR(設定!$B$4="全て",K98="実績"),1,0))</f>
        <v>1</v>
      </c>
      <c r="M98" s="10" t="n">
        <f aca="false">IF(OR(G98="",H98=""),"",G98-H98-I98)</f>
        <v>5700000</v>
      </c>
      <c r="N98" s="11" t="n">
        <f aca="false">IF(M98="","",M98/G98)</f>
        <v>0.133177570093458</v>
      </c>
      <c r="O98" s="10" t="n">
        <f aca="false">IF(OR(D98="",F98=""),"",F98-D98)</f>
        <v>241</v>
      </c>
      <c r="P98" s="9" t="str">
        <f aca="false">IF(G98="","",IF(INT(G98/設定!$B$5)*設定!$B$5&gt;=100000000,TEXT(INT(G98/設定!$B$5)*設定!$B$5/100000000,"0.0")&amp;"億",TEXT(INT(G98/設定!$B$5)*設定!$B$5/10000,"#,##0")&amp;"万")&amp;"〜")</f>
        <v>0万〜</v>
      </c>
      <c r="Q98" s="5" t="n">
        <v>122</v>
      </c>
      <c r="R98" s="12"/>
    </row>
    <row r="99" customFormat="false" ht="15" hidden="false" customHeight="false" outlineLevel="0" collapsed="false">
      <c r="A99" s="5" t="n">
        <v>86</v>
      </c>
      <c r="B99" s="6" t="s">
        <v>23</v>
      </c>
      <c r="C99" s="6" t="s">
        <v>126</v>
      </c>
      <c r="D99" s="7" t="n">
        <v>45306</v>
      </c>
      <c r="E99" s="7" t="n">
        <v>45828</v>
      </c>
      <c r="F99" s="7" t="n">
        <v>45911</v>
      </c>
      <c r="G99" s="8" t="n">
        <v>65800000</v>
      </c>
      <c r="H99" s="8" t="n">
        <v>25400000</v>
      </c>
      <c r="I99" s="8" t="n">
        <v>34100000</v>
      </c>
      <c r="J99" s="9" t="str">
        <f aca="false">IF(F99="","",IFERROR(INDEX(設定!$A$8:$A$15,MATCH(F99,設定!$B$8:$B$15,1)),"対象外"))</f>
        <v>13期</v>
      </c>
      <c r="K99" s="9" t="str">
        <f aca="false">IF(F99="","未売却",IF(F99&lt;=設定!$B$3,"実績","予定"))</f>
        <v>実績</v>
      </c>
      <c r="L99" s="9" t="n">
        <f aca="false">IF(F99="",0,IF(OR(設定!$B$4="全て",K99="実績"),1,0))</f>
        <v>1</v>
      </c>
      <c r="M99" s="10" t="n">
        <f aca="false">IF(OR(G99="",H99=""),"",G99-H99-I99)</f>
        <v>6300000</v>
      </c>
      <c r="N99" s="11" t="n">
        <f aca="false">IF(M99="","",M99/G99)</f>
        <v>0.0957446808510638</v>
      </c>
      <c r="O99" s="10" t="n">
        <f aca="false">IF(OR(D99="",F99=""),"",F99-D99)</f>
        <v>605</v>
      </c>
      <c r="P99" s="9" t="str">
        <f aca="false">IF(G99="","",IF(INT(G99/設定!$B$5)*設定!$B$5&gt;=100000000,TEXT(INT(G99/設定!$B$5)*設定!$B$5/100000000,"0.0")&amp;"億",TEXT(INT(G99/設定!$B$5)*設定!$B$5/10000,"#,##0")&amp;"万")&amp;"〜")</f>
        <v>5,000万〜</v>
      </c>
      <c r="Q99" s="5" t="n">
        <v>90</v>
      </c>
      <c r="R99" s="12"/>
    </row>
    <row r="100" customFormat="false" ht="15" hidden="false" customHeight="false" outlineLevel="0" collapsed="false">
      <c r="A100" s="5" t="n">
        <v>110</v>
      </c>
      <c r="B100" s="6" t="s">
        <v>23</v>
      </c>
      <c r="C100" s="6" t="s">
        <v>127</v>
      </c>
      <c r="D100" s="7" t="n">
        <v>45306</v>
      </c>
      <c r="E100" s="7" t="n">
        <v>45716</v>
      </c>
      <c r="F100" s="7" t="n">
        <v>45912</v>
      </c>
      <c r="G100" s="8" t="n">
        <v>63800000</v>
      </c>
      <c r="H100" s="8" t="n">
        <v>25400000</v>
      </c>
      <c r="I100" s="8" t="n">
        <v>37700000</v>
      </c>
      <c r="J100" s="9" t="str">
        <f aca="false">IF(F100="","",IFERROR(INDEX(設定!$A$8:$A$15,MATCH(F100,設定!$B$8:$B$15,1)),"対象外"))</f>
        <v>13期</v>
      </c>
      <c r="K100" s="9" t="str">
        <f aca="false">IF(F100="","未売却",IF(F100&lt;=設定!$B$3,"実績","予定"))</f>
        <v>実績</v>
      </c>
      <c r="L100" s="9" t="n">
        <f aca="false">IF(F100="",0,IF(OR(設定!$B$4="全て",K100="実績"),1,0))</f>
        <v>1</v>
      </c>
      <c r="M100" s="10" t="n">
        <f aca="false">IF(OR(G100="",H100=""),"",G100-H100-I100)</f>
        <v>700000</v>
      </c>
      <c r="N100" s="11" t="n">
        <f aca="false">IF(M100="","",M100/G100)</f>
        <v>0.0109717868338558</v>
      </c>
      <c r="O100" s="10" t="n">
        <f aca="false">IF(OR(D100="",F100=""),"",F100-D100)</f>
        <v>606</v>
      </c>
      <c r="P100" s="9" t="str">
        <f aca="false">IF(G100="","",IF(INT(G100/設定!$B$5)*設定!$B$5&gt;=100000000,TEXT(INT(G100/設定!$B$5)*設定!$B$5/100000000,"0.0")&amp;"億",TEXT(INT(G100/設定!$B$5)*設定!$B$5/10000,"#,##0")&amp;"万")&amp;"〜")</f>
        <v>5,000万〜</v>
      </c>
      <c r="Q100" s="5" t="n">
        <v>114</v>
      </c>
      <c r="R100" s="12"/>
    </row>
    <row r="101" customFormat="false" ht="15" hidden="false" customHeight="false" outlineLevel="0" collapsed="false">
      <c r="A101" s="5" t="n">
        <v>102</v>
      </c>
      <c r="B101" s="6" t="s">
        <v>23</v>
      </c>
      <c r="C101" s="6" t="s">
        <v>128</v>
      </c>
      <c r="D101" s="7" t="n">
        <v>45565</v>
      </c>
      <c r="E101" s="7" t="n">
        <v>45738</v>
      </c>
      <c r="F101" s="7" t="n">
        <v>45915</v>
      </c>
      <c r="G101" s="8" t="n">
        <v>61800000</v>
      </c>
      <c r="H101" s="8" t="n">
        <v>30000000</v>
      </c>
      <c r="I101" s="8" t="n">
        <v>21900000</v>
      </c>
      <c r="J101" s="9" t="str">
        <f aca="false">IF(F101="","",IFERROR(INDEX(設定!$A$8:$A$15,MATCH(F101,設定!$B$8:$B$15,1)),"対象外"))</f>
        <v>13期</v>
      </c>
      <c r="K101" s="9" t="str">
        <f aca="false">IF(F101="","未売却",IF(F101&lt;=設定!$B$3,"実績","予定"))</f>
        <v>実績</v>
      </c>
      <c r="L101" s="9" t="n">
        <f aca="false">IF(F101="",0,IF(OR(設定!$B$4="全て",K101="実績"),1,0))</f>
        <v>1</v>
      </c>
      <c r="M101" s="10" t="n">
        <f aca="false">IF(OR(G101="",H101=""),"",G101-H101-I101)</f>
        <v>9900000</v>
      </c>
      <c r="N101" s="11" t="n">
        <f aca="false">IF(M101="","",M101/G101)</f>
        <v>0.160194174757282</v>
      </c>
      <c r="O101" s="10" t="n">
        <f aca="false">IF(OR(D101="",F101=""),"",F101-D101)</f>
        <v>350</v>
      </c>
      <c r="P101" s="9" t="str">
        <f aca="false">IF(G101="","",IF(INT(G101/設定!$B$5)*設定!$B$5&gt;=100000000,TEXT(INT(G101/設定!$B$5)*設定!$B$5/100000000,"0.0")&amp;"億",TEXT(INT(G101/設定!$B$5)*設定!$B$5/10000,"#,##0")&amp;"万")&amp;"〜")</f>
        <v>5,000万〜</v>
      </c>
      <c r="Q101" s="5" t="n">
        <v>106</v>
      </c>
      <c r="R101" s="12"/>
    </row>
    <row r="102" customFormat="false" ht="15" hidden="false" customHeight="false" outlineLevel="0" collapsed="false">
      <c r="A102" s="5" t="n">
        <v>87</v>
      </c>
      <c r="B102" s="6" t="s">
        <v>23</v>
      </c>
      <c r="C102" s="6" t="s">
        <v>129</v>
      </c>
      <c r="D102" s="7" t="n">
        <v>45306</v>
      </c>
      <c r="E102" s="7" t="n">
        <v>45816</v>
      </c>
      <c r="F102" s="7" t="n">
        <v>45919</v>
      </c>
      <c r="G102" s="8" t="n">
        <v>65800000</v>
      </c>
      <c r="H102" s="8" t="n">
        <v>27400000</v>
      </c>
      <c r="I102" s="8" t="n">
        <v>31700000</v>
      </c>
      <c r="J102" s="9" t="str">
        <f aca="false">IF(F102="","",IFERROR(INDEX(設定!$A$8:$A$15,MATCH(F102,設定!$B$8:$B$15,1)),"対象外"))</f>
        <v>13期</v>
      </c>
      <c r="K102" s="9" t="str">
        <f aca="false">IF(F102="","未売却",IF(F102&lt;=設定!$B$3,"実績","予定"))</f>
        <v>実績</v>
      </c>
      <c r="L102" s="9" t="n">
        <f aca="false">IF(F102="",0,IF(OR(設定!$B$4="全て",K102="実績"),1,0))</f>
        <v>1</v>
      </c>
      <c r="M102" s="10" t="n">
        <f aca="false">IF(OR(G102="",H102=""),"",G102-H102-I102)</f>
        <v>6700000</v>
      </c>
      <c r="N102" s="11" t="n">
        <f aca="false">IF(M102="","",M102/G102)</f>
        <v>0.101823708206687</v>
      </c>
      <c r="O102" s="10" t="n">
        <f aca="false">IF(OR(D102="",F102=""),"",F102-D102)</f>
        <v>613</v>
      </c>
      <c r="P102" s="9" t="str">
        <f aca="false">IF(G102="","",IF(INT(G102/設定!$B$5)*設定!$B$5&gt;=100000000,TEXT(INT(G102/設定!$B$5)*設定!$B$5/100000000,"0.0")&amp;"億",TEXT(INT(G102/設定!$B$5)*設定!$B$5/10000,"#,##0")&amp;"万")&amp;"〜")</f>
        <v>5,000万〜</v>
      </c>
      <c r="Q102" s="5" t="n">
        <v>91</v>
      </c>
      <c r="R102" s="12"/>
    </row>
    <row r="103" customFormat="false" ht="15" hidden="false" customHeight="false" outlineLevel="0" collapsed="false">
      <c r="A103" s="5" t="n">
        <v>111</v>
      </c>
      <c r="B103" s="6" t="s">
        <v>23</v>
      </c>
      <c r="C103" s="6" t="s">
        <v>130</v>
      </c>
      <c r="D103" s="7" t="n">
        <v>45306</v>
      </c>
      <c r="E103" s="7" t="n">
        <v>45845</v>
      </c>
      <c r="F103" s="7" t="n">
        <v>45919</v>
      </c>
      <c r="G103" s="8" t="n">
        <v>63800000</v>
      </c>
      <c r="H103" s="8" t="n">
        <v>25400000</v>
      </c>
      <c r="I103" s="8" t="n">
        <v>31700000</v>
      </c>
      <c r="J103" s="9" t="str">
        <f aca="false">IF(F103="","",IFERROR(INDEX(設定!$A$8:$A$15,MATCH(F103,設定!$B$8:$B$15,1)),"対象外"))</f>
        <v>13期</v>
      </c>
      <c r="K103" s="9" t="str">
        <f aca="false">IF(F103="","未売却",IF(F103&lt;=設定!$B$3,"実績","予定"))</f>
        <v>実績</v>
      </c>
      <c r="L103" s="9" t="n">
        <f aca="false">IF(F103="",0,IF(OR(設定!$B$4="全て",K103="実績"),1,0))</f>
        <v>1</v>
      </c>
      <c r="M103" s="10" t="n">
        <f aca="false">IF(OR(G103="",H103=""),"",G103-H103-I103)</f>
        <v>6700000</v>
      </c>
      <c r="N103" s="11" t="n">
        <f aca="false">IF(M103="","",M103/G103)</f>
        <v>0.105015673981191</v>
      </c>
      <c r="O103" s="10" t="n">
        <f aca="false">IF(OR(D103="",F103=""),"",F103-D103)</f>
        <v>613</v>
      </c>
      <c r="P103" s="9" t="str">
        <f aca="false">IF(G103="","",IF(INT(G103/設定!$B$5)*設定!$B$5&gt;=100000000,TEXT(INT(G103/設定!$B$5)*設定!$B$5/100000000,"0.0")&amp;"億",TEXT(INT(G103/設定!$B$5)*設定!$B$5/10000,"#,##0")&amp;"万")&amp;"〜")</f>
        <v>5,000万〜</v>
      </c>
      <c r="Q103" s="5" t="n">
        <v>115</v>
      </c>
      <c r="R103" s="12"/>
    </row>
    <row r="104" customFormat="false" ht="15" hidden="false" customHeight="false" outlineLevel="0" collapsed="false">
      <c r="A104" s="5" t="n">
        <v>127</v>
      </c>
      <c r="B104" s="6" t="s">
        <v>42</v>
      </c>
      <c r="C104" s="6" t="s">
        <v>131</v>
      </c>
      <c r="D104" s="7" t="n">
        <v>45629</v>
      </c>
      <c r="E104" s="7" t="n">
        <v>45892</v>
      </c>
      <c r="F104" s="7" t="n">
        <v>45926</v>
      </c>
      <c r="G104" s="8" t="n">
        <v>10500000</v>
      </c>
      <c r="H104" s="8" t="n">
        <v>3300000</v>
      </c>
      <c r="I104" s="8" t="n">
        <v>990000</v>
      </c>
      <c r="J104" s="9" t="str">
        <f aca="false">IF(F104="","",IFERROR(INDEX(設定!$A$8:$A$15,MATCH(F104,設定!$B$8:$B$15,1)),"対象外"))</f>
        <v>13期</v>
      </c>
      <c r="K104" s="9" t="str">
        <f aca="false">IF(F104="","未売却",IF(F104&lt;=設定!$B$3,"実績","予定"))</f>
        <v>実績</v>
      </c>
      <c r="L104" s="9" t="n">
        <f aca="false">IF(F104="",0,IF(OR(設定!$B$4="全て",K104="実績"),1,0))</f>
        <v>1</v>
      </c>
      <c r="M104" s="10" t="n">
        <f aca="false">IF(OR(G104="",H104=""),"",G104-H104-I104)</f>
        <v>6210000</v>
      </c>
      <c r="N104" s="11" t="n">
        <f aca="false">IF(M104="","",M104/G104)</f>
        <v>0.591428571428571</v>
      </c>
      <c r="O104" s="10" t="n">
        <f aca="false">IF(OR(D104="",F104=""),"",F104-D104)</f>
        <v>297</v>
      </c>
      <c r="P104" s="9" t="str">
        <f aca="false">IF(G104="","",IF(INT(G104/設定!$B$5)*設定!$B$5&gt;=100000000,TEXT(INT(G104/設定!$B$5)*設定!$B$5/100000000,"0.0")&amp;"億",TEXT(INT(G104/設定!$B$5)*設定!$B$5/10000,"#,##0")&amp;"万")&amp;"〜")</f>
        <v>0万〜</v>
      </c>
      <c r="Q104" s="5" t="n">
        <v>131</v>
      </c>
      <c r="R104" s="12"/>
    </row>
    <row r="105" customFormat="false" ht="15" hidden="false" customHeight="false" outlineLevel="0" collapsed="false">
      <c r="A105" s="5" t="n">
        <v>112</v>
      </c>
      <c r="B105" s="5" t="s">
        <v>20</v>
      </c>
      <c r="C105" s="6" t="s">
        <v>132</v>
      </c>
      <c r="D105" s="7" t="n">
        <v>45611</v>
      </c>
      <c r="E105" s="7" t="n">
        <v>45912</v>
      </c>
      <c r="F105" s="7" t="n">
        <v>45930</v>
      </c>
      <c r="G105" s="8" t="n">
        <v>16000000</v>
      </c>
      <c r="H105" s="8" t="n">
        <v>15800000</v>
      </c>
      <c r="I105" s="8" t="n">
        <v>1250000</v>
      </c>
      <c r="J105" s="9" t="str">
        <f aca="false">IF(F105="","",IFERROR(INDEX(設定!$A$8:$A$15,MATCH(F105,設定!$B$8:$B$15,1)),"対象外"))</f>
        <v>13期</v>
      </c>
      <c r="K105" s="9" t="str">
        <f aca="false">IF(F105="","未売却",IF(F105&lt;=設定!$B$3,"実績","予定"))</f>
        <v>実績</v>
      </c>
      <c r="L105" s="9" t="n">
        <f aca="false">IF(F105="",0,IF(OR(設定!$B$4="全て",K105="実績"),1,0))</f>
        <v>1</v>
      </c>
      <c r="M105" s="10" t="n">
        <f aca="false">IF(OR(G105="",H105=""),"",G105-H105-I105)</f>
        <v>-1050000</v>
      </c>
      <c r="N105" s="11" t="n">
        <f aca="false">IF(M105="","",M105/G105)</f>
        <v>-0.065625</v>
      </c>
      <c r="O105" s="10" t="n">
        <f aca="false">IF(OR(D105="",F105=""),"",F105-D105)</f>
        <v>319</v>
      </c>
      <c r="P105" s="9" t="str">
        <f aca="false">IF(G105="","",IF(INT(G105/設定!$B$5)*設定!$B$5&gt;=100000000,TEXT(INT(G105/設定!$B$5)*設定!$B$5/100000000,"0.0")&amp;"億",TEXT(INT(G105/設定!$B$5)*設定!$B$5/10000,"#,##0")&amp;"万")&amp;"〜")</f>
        <v>0万〜</v>
      </c>
      <c r="Q105" s="5" t="n">
        <v>116</v>
      </c>
      <c r="R105" s="12" t="s">
        <v>64</v>
      </c>
    </row>
    <row r="106" customFormat="false" ht="15" hidden="false" customHeight="false" outlineLevel="0" collapsed="false">
      <c r="A106" s="5" t="n">
        <v>124</v>
      </c>
      <c r="B106" s="6" t="s">
        <v>26</v>
      </c>
      <c r="C106" s="6" t="s">
        <v>133</v>
      </c>
      <c r="D106" s="7" t="n">
        <v>45730</v>
      </c>
      <c r="E106" s="7" t="n">
        <v>45927</v>
      </c>
      <c r="F106" s="7" t="n">
        <v>45960</v>
      </c>
      <c r="G106" s="8" t="n">
        <v>136900000</v>
      </c>
      <c r="H106" s="8" t="n">
        <v>126700000</v>
      </c>
      <c r="I106" s="8" t="n">
        <v>800000</v>
      </c>
      <c r="J106" s="9" t="str">
        <f aca="false">IF(F106="","",IFERROR(INDEX(設定!$A$8:$A$15,MATCH(F106,設定!$B$8:$B$15,1)),"対象外"))</f>
        <v>14期</v>
      </c>
      <c r="K106" s="9" t="str">
        <f aca="false">IF(F106="","未売却",IF(F106&lt;=設定!$B$3,"実績","予定"))</f>
        <v>実績</v>
      </c>
      <c r="L106" s="9" t="n">
        <f aca="false">IF(F106="",0,IF(OR(設定!$B$4="全て",K106="実績"),1,0))</f>
        <v>1</v>
      </c>
      <c r="M106" s="10" t="n">
        <f aca="false">IF(OR(G106="",H106=""),"",G106-H106-I106)</f>
        <v>9400000</v>
      </c>
      <c r="N106" s="11" t="n">
        <f aca="false">IF(M106="","",M106/G106)</f>
        <v>0.068663257852447</v>
      </c>
      <c r="O106" s="10" t="n">
        <f aca="false">IF(OR(D106="",F106=""),"",F106-D106)</f>
        <v>230</v>
      </c>
      <c r="P106" s="9" t="str">
        <f aca="false">IF(G106="","",IF(INT(G106/設定!$B$5)*設定!$B$5&gt;=100000000,TEXT(INT(G106/設定!$B$5)*設定!$B$5/100000000,"0.0")&amp;"億",TEXT(INT(G106/設定!$B$5)*設定!$B$5/10000,"#,##0")&amp;"万")&amp;"〜")</f>
        <v>1.0億〜</v>
      </c>
      <c r="Q106" s="5" t="n">
        <v>128</v>
      </c>
      <c r="R106" s="12"/>
    </row>
    <row r="107" customFormat="false" ht="15" hidden="false" customHeight="false" outlineLevel="0" collapsed="false">
      <c r="A107" s="5" t="n">
        <v>80</v>
      </c>
      <c r="B107" s="6" t="s">
        <v>93</v>
      </c>
      <c r="C107" s="6" t="s">
        <v>134</v>
      </c>
      <c r="D107" s="7" t="n">
        <v>45230</v>
      </c>
      <c r="E107" s="7" t="n">
        <v>45930</v>
      </c>
      <c r="F107" s="7" t="n">
        <v>45982</v>
      </c>
      <c r="G107" s="8" t="n">
        <v>128000000</v>
      </c>
      <c r="H107" s="8" t="n">
        <v>66500000</v>
      </c>
      <c r="I107" s="8" t="n">
        <v>47893910</v>
      </c>
      <c r="J107" s="9" t="str">
        <f aca="false">IF(F107="","",IFERROR(INDEX(設定!$A$8:$A$15,MATCH(F107,設定!$B$8:$B$15,1)),"対象外"))</f>
        <v>14期</v>
      </c>
      <c r="K107" s="9" t="str">
        <f aca="false">IF(F107="","未売却",IF(F107&lt;=設定!$B$3,"実績","予定"))</f>
        <v>実績</v>
      </c>
      <c r="L107" s="9" t="n">
        <f aca="false">IF(F107="",0,IF(OR(設定!$B$4="全て",K107="実績"),1,0))</f>
        <v>1</v>
      </c>
      <c r="M107" s="10" t="n">
        <f aca="false">IF(OR(G107="",H107=""),"",G107-H107-I107)</f>
        <v>13606090</v>
      </c>
      <c r="N107" s="11" t="n">
        <f aca="false">IF(M107="","",M107/G107)</f>
        <v>0.106297578125</v>
      </c>
      <c r="O107" s="10" t="n">
        <f aca="false">IF(OR(D107="",F107=""),"",F107-D107)</f>
        <v>752</v>
      </c>
      <c r="P107" s="9" t="str">
        <f aca="false">IF(G107="","",IF(INT(G107/設定!$B$5)*設定!$B$5&gt;=100000000,TEXT(INT(G107/設定!$B$5)*設定!$B$5/100000000,"0.0")&amp;"億",TEXT(INT(G107/設定!$B$5)*設定!$B$5/10000,"#,##0")&amp;"万")&amp;"〜")</f>
        <v>1.0億〜</v>
      </c>
      <c r="Q107" s="5" t="n">
        <v>84</v>
      </c>
      <c r="R107" s="12"/>
    </row>
    <row r="108" customFormat="false" ht="15" hidden="false" customHeight="false" outlineLevel="0" collapsed="false">
      <c r="A108" s="5" t="n">
        <v>113</v>
      </c>
      <c r="B108" s="6" t="s">
        <v>23</v>
      </c>
      <c r="C108" s="6" t="s">
        <v>135</v>
      </c>
      <c r="D108" s="7" t="n">
        <v>45640</v>
      </c>
      <c r="E108" s="7" t="n">
        <v>45950</v>
      </c>
      <c r="F108" s="7" t="n">
        <v>45991</v>
      </c>
      <c r="G108" s="8" t="n">
        <v>64900000</v>
      </c>
      <c r="H108" s="8" t="n">
        <v>28600000</v>
      </c>
      <c r="I108" s="8" t="n">
        <v>29500000</v>
      </c>
      <c r="J108" s="9" t="str">
        <f aca="false">IF(F108="","",IFERROR(INDEX(設定!$A$8:$A$15,MATCH(F108,設定!$B$8:$B$15,1)),"対象外"))</f>
        <v>14期</v>
      </c>
      <c r="K108" s="9" t="str">
        <f aca="false">IF(F108="","未売却",IF(F108&lt;=設定!$B$3,"実績","予定"))</f>
        <v>実績</v>
      </c>
      <c r="L108" s="9" t="n">
        <f aca="false">IF(F108="",0,IF(OR(設定!$B$4="全て",K108="実績"),1,0))</f>
        <v>1</v>
      </c>
      <c r="M108" s="10" t="n">
        <f aca="false">IF(OR(G108="",H108=""),"",G108-H108-I108)</f>
        <v>6800000</v>
      </c>
      <c r="N108" s="11" t="n">
        <f aca="false">IF(M108="","",M108/G108)</f>
        <v>0.104776579352851</v>
      </c>
      <c r="O108" s="10" t="n">
        <f aca="false">IF(OR(D108="",F108=""),"",F108-D108)</f>
        <v>351</v>
      </c>
      <c r="P108" s="9" t="str">
        <f aca="false">IF(G108="","",IF(INT(G108/設定!$B$5)*設定!$B$5&gt;=100000000,TEXT(INT(G108/設定!$B$5)*設定!$B$5/100000000,"0.0")&amp;"億",TEXT(INT(G108/設定!$B$5)*設定!$B$5/10000,"#,##0")&amp;"万")&amp;"〜")</f>
        <v>5,000万〜</v>
      </c>
      <c r="Q108" s="5" t="n">
        <v>117</v>
      </c>
      <c r="R108" s="12"/>
    </row>
    <row r="109" customFormat="false" ht="15" hidden="false" customHeight="false" outlineLevel="0" collapsed="false">
      <c r="A109" s="5" t="n">
        <v>116</v>
      </c>
      <c r="B109" s="6" t="s">
        <v>26</v>
      </c>
      <c r="C109" s="6" t="s">
        <v>136</v>
      </c>
      <c r="D109" s="7" t="n">
        <v>45646</v>
      </c>
      <c r="E109" s="7" t="n">
        <v>45940</v>
      </c>
      <c r="F109" s="7" t="n">
        <v>45991</v>
      </c>
      <c r="G109" s="8" t="n">
        <v>81000000</v>
      </c>
      <c r="H109" s="8" t="n">
        <v>61800000</v>
      </c>
      <c r="I109" s="8" t="n">
        <v>10000000</v>
      </c>
      <c r="J109" s="9" t="str">
        <f aca="false">IF(F109="","",IFERROR(INDEX(設定!$A$8:$A$15,MATCH(F109,設定!$B$8:$B$15,1)),"対象外"))</f>
        <v>14期</v>
      </c>
      <c r="K109" s="9" t="str">
        <f aca="false">IF(F109="","未売却",IF(F109&lt;=設定!$B$3,"実績","予定"))</f>
        <v>実績</v>
      </c>
      <c r="L109" s="9" t="n">
        <f aca="false">IF(F109="",0,IF(OR(設定!$B$4="全て",K109="実績"),1,0))</f>
        <v>1</v>
      </c>
      <c r="M109" s="10" t="n">
        <f aca="false">IF(OR(G109="",H109=""),"",G109-H109-I109)</f>
        <v>9200000</v>
      </c>
      <c r="N109" s="11" t="n">
        <f aca="false">IF(M109="","",M109/G109)</f>
        <v>0.11358024691358</v>
      </c>
      <c r="O109" s="10" t="n">
        <f aca="false">IF(OR(D109="",F109=""),"",F109-D109)</f>
        <v>345</v>
      </c>
      <c r="P109" s="9" t="str">
        <f aca="false">IF(G109="","",IF(INT(G109/設定!$B$5)*設定!$B$5&gt;=100000000,TEXT(INT(G109/設定!$B$5)*設定!$B$5/100000000,"0.0")&amp;"億",TEXT(INT(G109/設定!$B$5)*設定!$B$5/10000,"#,##0")&amp;"万")&amp;"〜")</f>
        <v>5,000万〜</v>
      </c>
      <c r="Q109" s="5" t="n">
        <v>120</v>
      </c>
      <c r="R109" s="12"/>
    </row>
    <row r="110" customFormat="false" ht="15" hidden="false" customHeight="false" outlineLevel="0" collapsed="false">
      <c r="A110" s="5" t="n">
        <v>107</v>
      </c>
      <c r="B110" s="6" t="s">
        <v>23</v>
      </c>
      <c r="C110" s="6" t="s">
        <v>137</v>
      </c>
      <c r="D110" s="7" t="n">
        <v>45583</v>
      </c>
      <c r="E110" s="7" t="n">
        <v>45858</v>
      </c>
      <c r="F110" s="7" t="n">
        <v>46011</v>
      </c>
      <c r="G110" s="8" t="n">
        <v>77000000</v>
      </c>
      <c r="H110" s="8" t="n">
        <v>37100000</v>
      </c>
      <c r="I110" s="8" t="n">
        <v>26000000</v>
      </c>
      <c r="J110" s="9" t="str">
        <f aca="false">IF(F110="","",IFERROR(INDEX(設定!$A$8:$A$15,MATCH(F110,設定!$B$8:$B$15,1)),"対象外"))</f>
        <v>14期</v>
      </c>
      <c r="K110" s="9" t="str">
        <f aca="false">IF(F110="","未売却",IF(F110&lt;=設定!$B$3,"実績","予定"))</f>
        <v>実績</v>
      </c>
      <c r="L110" s="9" t="n">
        <f aca="false">IF(F110="",0,IF(OR(設定!$B$4="全て",K110="実績"),1,0))</f>
        <v>1</v>
      </c>
      <c r="M110" s="10" t="n">
        <f aca="false">IF(OR(G110="",H110=""),"",G110-H110-I110)</f>
        <v>13900000</v>
      </c>
      <c r="N110" s="11" t="n">
        <f aca="false">IF(M110="","",M110/G110)</f>
        <v>0.180519480519481</v>
      </c>
      <c r="O110" s="10" t="n">
        <f aca="false">IF(OR(D110="",F110=""),"",F110-D110)</f>
        <v>428</v>
      </c>
      <c r="P110" s="9" t="str">
        <f aca="false">IF(G110="","",IF(INT(G110/設定!$B$5)*設定!$B$5&gt;=100000000,TEXT(INT(G110/設定!$B$5)*設定!$B$5/100000000,"0.0")&amp;"億",TEXT(INT(G110/設定!$B$5)*設定!$B$5/10000,"#,##0")&amp;"万")&amp;"〜")</f>
        <v>5,000万〜</v>
      </c>
      <c r="Q110" s="5" t="n">
        <v>111</v>
      </c>
      <c r="R110" s="12"/>
    </row>
    <row r="111" customFormat="false" ht="15" hidden="false" customHeight="false" outlineLevel="0" collapsed="false">
      <c r="A111" s="5" t="n">
        <v>145</v>
      </c>
      <c r="B111" s="5" t="s">
        <v>20</v>
      </c>
      <c r="C111" s="6" t="s">
        <v>138</v>
      </c>
      <c r="D111" s="7"/>
      <c r="E111" s="7" t="n">
        <v>45981</v>
      </c>
      <c r="F111" s="7" t="n">
        <v>46011</v>
      </c>
      <c r="G111" s="8" t="n">
        <v>33000000</v>
      </c>
      <c r="H111" s="8"/>
      <c r="I111" s="8" t="n">
        <v>0</v>
      </c>
      <c r="J111" s="9" t="str">
        <f aca="false">IF(F111="","",IFERROR(INDEX(設定!$A$8:$A$15,MATCH(F111,設定!$B$8:$B$15,1)),"対象外"))</f>
        <v>14期</v>
      </c>
      <c r="K111" s="9" t="str">
        <f aca="false">IF(F111="","未売却",IF(F111&lt;=設定!$B$3,"実績","予定"))</f>
        <v>実績</v>
      </c>
      <c r="L111" s="9" t="n">
        <f aca="false">IF(F111="",0,IF(OR(設定!$B$4="全て",K111="実績"),1,0))</f>
        <v>1</v>
      </c>
      <c r="M111" s="10" t="str">
        <f aca="false">IF(OR(G111="",H111=""),"",G111-H111-I111)</f>
        <v/>
      </c>
      <c r="N111" s="11" t="str">
        <f aca="false">IF(M111="","",M111/G111)</f>
        <v/>
      </c>
      <c r="O111" s="10" t="str">
        <f aca="false">IF(OR(D111="",F111=""),"",F111-D111)</f>
        <v/>
      </c>
      <c r="P111" s="9" t="str">
        <f aca="false">IF(G111="","",IF(INT(G111/設定!$B$5)*設定!$B$5&gt;=100000000,TEXT(INT(G111/設定!$B$5)*設定!$B$5/100000000,"0.0")&amp;"億",TEXT(INT(G111/設定!$B$5)*設定!$B$5/10000,"#,##0")&amp;"万")&amp;"〜")</f>
        <v>0万〜</v>
      </c>
      <c r="Q111" s="5" t="n">
        <v>149</v>
      </c>
      <c r="R111" s="12" t="s">
        <v>38</v>
      </c>
    </row>
    <row r="112" customFormat="false" ht="15" hidden="false" customHeight="false" outlineLevel="0" collapsed="false">
      <c r="A112" s="5" t="n">
        <v>104</v>
      </c>
      <c r="B112" s="6" t="s">
        <v>69</v>
      </c>
      <c r="C112" s="6" t="s">
        <v>139</v>
      </c>
      <c r="D112" s="7" t="n">
        <v>45595</v>
      </c>
      <c r="E112" s="7" t="n">
        <v>45796</v>
      </c>
      <c r="F112" s="7" t="n">
        <v>46017</v>
      </c>
      <c r="G112" s="8" t="n">
        <v>230000000</v>
      </c>
      <c r="H112" s="8" t="n">
        <v>143000000</v>
      </c>
      <c r="I112" s="8" t="n">
        <v>70000000</v>
      </c>
      <c r="J112" s="9" t="str">
        <f aca="false">IF(F112="","",IFERROR(INDEX(設定!$A$8:$A$15,MATCH(F112,設定!$B$8:$B$15,1)),"対象外"))</f>
        <v>14期</v>
      </c>
      <c r="K112" s="9" t="str">
        <f aca="false">IF(F112="","未売却",IF(F112&lt;=設定!$B$3,"実績","予定"))</f>
        <v>実績</v>
      </c>
      <c r="L112" s="9" t="n">
        <f aca="false">IF(F112="",0,IF(OR(設定!$B$4="全て",K112="実績"),1,0))</f>
        <v>1</v>
      </c>
      <c r="M112" s="10" t="n">
        <f aca="false">IF(OR(G112="",H112=""),"",G112-H112-I112)</f>
        <v>17000000</v>
      </c>
      <c r="N112" s="11" t="n">
        <f aca="false">IF(M112="","",M112/G112)</f>
        <v>0.0739130434782609</v>
      </c>
      <c r="O112" s="10" t="n">
        <f aca="false">IF(OR(D112="",F112=""),"",F112-D112)</f>
        <v>422</v>
      </c>
      <c r="P112" s="9" t="str">
        <f aca="false">IF(G112="","",IF(INT(G112/設定!$B$5)*設定!$B$5&gt;=100000000,TEXT(INT(G112/設定!$B$5)*設定!$B$5/100000000,"0.0")&amp;"億",TEXT(INT(G112/設定!$B$5)*設定!$B$5/10000,"#,##0")&amp;"万")&amp;"〜")</f>
        <v>2.0億〜</v>
      </c>
      <c r="Q112" s="5" t="n">
        <v>108</v>
      </c>
      <c r="R112" s="12"/>
    </row>
    <row r="113" customFormat="false" ht="15" hidden="false" customHeight="false" outlineLevel="0" collapsed="false">
      <c r="A113" s="5" t="n">
        <v>108</v>
      </c>
      <c r="B113" s="6" t="s">
        <v>23</v>
      </c>
      <c r="C113" s="6" t="s">
        <v>140</v>
      </c>
      <c r="D113" s="7" t="n">
        <v>45583</v>
      </c>
      <c r="E113" s="7" t="n">
        <v>45920</v>
      </c>
      <c r="F113" s="7" t="n">
        <v>46017</v>
      </c>
      <c r="G113" s="8" t="n">
        <v>77900000</v>
      </c>
      <c r="H113" s="8" t="n">
        <v>37100000</v>
      </c>
      <c r="I113" s="8" t="n">
        <v>26000000</v>
      </c>
      <c r="J113" s="9" t="str">
        <f aca="false">IF(F113="","",IFERROR(INDEX(設定!$A$8:$A$15,MATCH(F113,設定!$B$8:$B$15,1)),"対象外"))</f>
        <v>14期</v>
      </c>
      <c r="K113" s="9" t="str">
        <f aca="false">IF(F113="","未売却",IF(F113&lt;=設定!$B$3,"実績","予定"))</f>
        <v>実績</v>
      </c>
      <c r="L113" s="9" t="n">
        <f aca="false">IF(F113="",0,IF(OR(設定!$B$4="全て",K113="実績"),1,0))</f>
        <v>1</v>
      </c>
      <c r="M113" s="10" t="n">
        <f aca="false">IF(OR(G113="",H113=""),"",G113-H113-I113)</f>
        <v>14800000</v>
      </c>
      <c r="N113" s="11" t="n">
        <f aca="false">IF(M113="","",M113/G113)</f>
        <v>0.189987163029525</v>
      </c>
      <c r="O113" s="10" t="n">
        <f aca="false">IF(OR(D113="",F113=""),"",F113-D113)</f>
        <v>434</v>
      </c>
      <c r="P113" s="9" t="str">
        <f aca="false">IF(G113="","",IF(INT(G113/設定!$B$5)*設定!$B$5&gt;=100000000,TEXT(INT(G113/設定!$B$5)*設定!$B$5/100000000,"0.0")&amp;"億",TEXT(INT(G113/設定!$B$5)*設定!$B$5/10000,"#,##0")&amp;"万")&amp;"〜")</f>
        <v>5,000万〜</v>
      </c>
      <c r="Q113" s="5" t="n">
        <v>112</v>
      </c>
      <c r="R113" s="12"/>
    </row>
    <row r="114" customFormat="false" ht="15" hidden="false" customHeight="false" outlineLevel="0" collapsed="false">
      <c r="A114" s="5" t="n">
        <v>136</v>
      </c>
      <c r="B114" s="6" t="s">
        <v>42</v>
      </c>
      <c r="C114" s="6" t="s">
        <v>141</v>
      </c>
      <c r="D114" s="7" t="n">
        <v>45968</v>
      </c>
      <c r="E114" s="7" t="n">
        <v>45981</v>
      </c>
      <c r="F114" s="7" t="n">
        <v>46052</v>
      </c>
      <c r="G114" s="8" t="n">
        <v>177000000</v>
      </c>
      <c r="H114" s="8" t="n">
        <v>130000000</v>
      </c>
      <c r="I114" s="8" t="n">
        <v>5600000</v>
      </c>
      <c r="J114" s="9" t="str">
        <f aca="false">IF(F114="","",IFERROR(INDEX(設定!$A$8:$A$15,MATCH(F114,設定!$B$8:$B$15,1)),"対象外"))</f>
        <v>14期</v>
      </c>
      <c r="K114" s="9" t="str">
        <f aca="false">IF(F114="","未売却",IF(F114&lt;=設定!$B$3,"実績","予定"))</f>
        <v>実績</v>
      </c>
      <c r="L114" s="9" t="n">
        <f aca="false">IF(F114="",0,IF(OR(設定!$B$4="全て",K114="実績"),1,0))</f>
        <v>1</v>
      </c>
      <c r="M114" s="10" t="n">
        <f aca="false">IF(OR(G114="",H114=""),"",G114-H114-I114)</f>
        <v>41400000</v>
      </c>
      <c r="N114" s="11" t="n">
        <f aca="false">IF(M114="","",M114/G114)</f>
        <v>0.233898305084746</v>
      </c>
      <c r="O114" s="10" t="n">
        <f aca="false">IF(OR(D114="",F114=""),"",F114-D114)</f>
        <v>84</v>
      </c>
      <c r="P114" s="9" t="str">
        <f aca="false">IF(G114="","",IF(INT(G114/設定!$B$5)*設定!$B$5&gt;=100000000,TEXT(INT(G114/設定!$B$5)*設定!$B$5/100000000,"0.0")&amp;"億",TEXT(INT(G114/設定!$B$5)*設定!$B$5/10000,"#,##0")&amp;"万")&amp;"〜")</f>
        <v>1.5億〜</v>
      </c>
      <c r="Q114" s="5" t="n">
        <v>140</v>
      </c>
      <c r="R114" s="12"/>
    </row>
    <row r="115" customFormat="false" ht="15" hidden="false" customHeight="false" outlineLevel="0" collapsed="false">
      <c r="A115" s="5" t="n">
        <v>121</v>
      </c>
      <c r="B115" s="6" t="s">
        <v>23</v>
      </c>
      <c r="C115" s="6" t="s">
        <v>142</v>
      </c>
      <c r="D115" s="7" t="n">
        <v>45726</v>
      </c>
      <c r="E115" s="7" t="n">
        <v>45879</v>
      </c>
      <c r="F115" s="7" t="n">
        <v>46063</v>
      </c>
      <c r="G115" s="8" t="n">
        <v>42800000</v>
      </c>
      <c r="H115" s="8" t="n">
        <v>8000000</v>
      </c>
      <c r="I115" s="8" t="n">
        <v>21715000</v>
      </c>
      <c r="J115" s="9" t="str">
        <f aca="false">IF(F115="","",IFERROR(INDEX(設定!$A$8:$A$15,MATCH(F115,設定!$B$8:$B$15,1)),"対象外"))</f>
        <v>14期</v>
      </c>
      <c r="K115" s="9" t="str">
        <f aca="false">IF(F115="","未売却",IF(F115&lt;=設定!$B$3,"実績","予定"))</f>
        <v>実績</v>
      </c>
      <c r="L115" s="9" t="n">
        <f aca="false">IF(F115="",0,IF(OR(設定!$B$4="全て",K115="実績"),1,0))</f>
        <v>1</v>
      </c>
      <c r="M115" s="10" t="n">
        <f aca="false">IF(OR(G115="",H115=""),"",G115-H115-I115)</f>
        <v>13085000</v>
      </c>
      <c r="N115" s="11" t="n">
        <f aca="false">IF(M115="","",M115/G115)</f>
        <v>0.305724299065421</v>
      </c>
      <c r="O115" s="10" t="n">
        <f aca="false">IF(OR(D115="",F115=""),"",F115-D115)</f>
        <v>337</v>
      </c>
      <c r="P115" s="9" t="str">
        <f aca="false">IF(G115="","",IF(INT(G115/設定!$B$5)*設定!$B$5&gt;=100000000,TEXT(INT(G115/設定!$B$5)*設定!$B$5/100000000,"0.0")&amp;"億",TEXT(INT(G115/設定!$B$5)*設定!$B$5/10000,"#,##0")&amp;"万")&amp;"〜")</f>
        <v>0万〜</v>
      </c>
      <c r="Q115" s="5" t="n">
        <v>125</v>
      </c>
      <c r="R115" s="12"/>
    </row>
    <row r="116" customFormat="false" ht="15" hidden="false" customHeight="false" outlineLevel="0" collapsed="false">
      <c r="A116" s="5" t="n">
        <v>115</v>
      </c>
      <c r="B116" s="6" t="s">
        <v>23</v>
      </c>
      <c r="C116" s="6" t="s">
        <v>143</v>
      </c>
      <c r="D116" s="7" t="n">
        <v>45617</v>
      </c>
      <c r="E116" s="7" t="n">
        <v>45823</v>
      </c>
      <c r="F116" s="7" t="n">
        <v>46068</v>
      </c>
      <c r="G116" s="8" t="n">
        <v>288000000</v>
      </c>
      <c r="H116" s="8" t="n">
        <v>149200000</v>
      </c>
      <c r="I116" s="8" t="n">
        <v>81500000</v>
      </c>
      <c r="J116" s="9" t="str">
        <f aca="false">IF(F116="","",IFERROR(INDEX(設定!$A$8:$A$15,MATCH(F116,設定!$B$8:$B$15,1)),"対象外"))</f>
        <v>14期</v>
      </c>
      <c r="K116" s="9" t="str">
        <f aca="false">IF(F116="","未売却",IF(F116&lt;=設定!$B$3,"実績","予定"))</f>
        <v>実績</v>
      </c>
      <c r="L116" s="9" t="n">
        <f aca="false">IF(F116="",0,IF(OR(設定!$B$4="全て",K116="実績"),1,0))</f>
        <v>1</v>
      </c>
      <c r="M116" s="10" t="n">
        <f aca="false">IF(OR(G116="",H116=""),"",G116-H116-I116)</f>
        <v>57300000</v>
      </c>
      <c r="N116" s="11" t="n">
        <f aca="false">IF(M116="","",M116/G116)</f>
        <v>0.198958333333333</v>
      </c>
      <c r="O116" s="10" t="n">
        <f aca="false">IF(OR(D116="",F116=""),"",F116-D116)</f>
        <v>451</v>
      </c>
      <c r="P116" s="9" t="str">
        <f aca="false">IF(G116="","",IF(INT(G116/設定!$B$5)*設定!$B$5&gt;=100000000,TEXT(INT(G116/設定!$B$5)*設定!$B$5/100000000,"0.0")&amp;"億",TEXT(INT(G116/設定!$B$5)*設定!$B$5/10000,"#,##0")&amp;"万")&amp;"〜")</f>
        <v>2.5億〜</v>
      </c>
      <c r="Q116" s="5" t="n">
        <v>119</v>
      </c>
      <c r="R116" s="12"/>
    </row>
    <row r="117" customFormat="false" ht="15" hidden="false" customHeight="false" outlineLevel="0" collapsed="false">
      <c r="A117" s="5" t="n">
        <v>148</v>
      </c>
      <c r="B117" s="6" t="s">
        <v>42</v>
      </c>
      <c r="C117" s="6" t="s">
        <v>144</v>
      </c>
      <c r="D117" s="7" t="n">
        <v>46073</v>
      </c>
      <c r="E117" s="7" t="n">
        <v>46019</v>
      </c>
      <c r="F117" s="7" t="n">
        <v>46073</v>
      </c>
      <c r="G117" s="8" t="n">
        <v>122000000</v>
      </c>
      <c r="H117" s="8" t="n">
        <v>105400000</v>
      </c>
      <c r="I117" s="8" t="n">
        <v>1200000</v>
      </c>
      <c r="J117" s="9" t="str">
        <f aca="false">IF(F117="","",IFERROR(INDEX(設定!$A$8:$A$15,MATCH(F117,設定!$B$8:$B$15,1)),"対象外"))</f>
        <v>14期</v>
      </c>
      <c r="K117" s="9" t="str">
        <f aca="false">IF(F117="","未売却",IF(F117&lt;=設定!$B$3,"実績","予定"))</f>
        <v>実績</v>
      </c>
      <c r="L117" s="9" t="n">
        <f aca="false">IF(F117="",0,IF(OR(設定!$B$4="全て",K117="実績"),1,0))</f>
        <v>1</v>
      </c>
      <c r="M117" s="10" t="n">
        <f aca="false">IF(OR(G117="",H117=""),"",G117-H117-I117)</f>
        <v>15400000</v>
      </c>
      <c r="N117" s="11" t="n">
        <f aca="false">IF(M117="","",M117/G117)</f>
        <v>0.126229508196721</v>
      </c>
      <c r="O117" s="10" t="n">
        <f aca="false">IF(OR(D117="",F117=""),"",F117-D117)</f>
        <v>0</v>
      </c>
      <c r="P117" s="9" t="str">
        <f aca="false">IF(G117="","",IF(INT(G117/設定!$B$5)*設定!$B$5&gt;=100000000,TEXT(INT(G117/設定!$B$5)*設定!$B$5/100000000,"0.0")&amp;"億",TEXT(INT(G117/設定!$B$5)*設定!$B$5/10000,"#,##0")&amp;"万")&amp;"〜")</f>
        <v>1.0億〜</v>
      </c>
      <c r="Q117" s="5" t="n">
        <v>152</v>
      </c>
      <c r="R117" s="12"/>
    </row>
    <row r="118" customFormat="false" ht="15" hidden="false" customHeight="false" outlineLevel="0" collapsed="false">
      <c r="A118" s="5" t="n">
        <v>129</v>
      </c>
      <c r="B118" s="5" t="s">
        <v>20</v>
      </c>
      <c r="C118" s="6" t="s">
        <v>145</v>
      </c>
      <c r="D118" s="7" t="n">
        <v>45848</v>
      </c>
      <c r="E118" s="7" t="n">
        <v>46073</v>
      </c>
      <c r="F118" s="7" t="n">
        <v>46077</v>
      </c>
      <c r="G118" s="8" t="n">
        <v>38400000</v>
      </c>
      <c r="H118" s="8" t="n">
        <v>22400000</v>
      </c>
      <c r="I118" s="8" t="n">
        <v>11000000</v>
      </c>
      <c r="J118" s="9" t="str">
        <f aca="false">IF(F118="","",IFERROR(INDEX(設定!$A$8:$A$15,MATCH(F118,設定!$B$8:$B$15,1)),"対象外"))</f>
        <v>14期</v>
      </c>
      <c r="K118" s="9" t="str">
        <f aca="false">IF(F118="","未売却",IF(F118&lt;=設定!$B$3,"実績","予定"))</f>
        <v>実績</v>
      </c>
      <c r="L118" s="9" t="n">
        <f aca="false">IF(F118="",0,IF(OR(設定!$B$4="全て",K118="実績"),1,0))</f>
        <v>1</v>
      </c>
      <c r="M118" s="10" t="n">
        <f aca="false">IF(OR(G118="",H118=""),"",G118-H118-I118)</f>
        <v>5000000</v>
      </c>
      <c r="N118" s="11" t="n">
        <f aca="false">IF(M118="","",M118/G118)</f>
        <v>0.130208333333333</v>
      </c>
      <c r="O118" s="10" t="n">
        <f aca="false">IF(OR(D118="",F118=""),"",F118-D118)</f>
        <v>229</v>
      </c>
      <c r="P118" s="9" t="str">
        <f aca="false">IF(G118="","",IF(INT(G118/設定!$B$5)*設定!$B$5&gt;=100000000,TEXT(INT(G118/設定!$B$5)*設定!$B$5/100000000,"0.0")&amp;"億",TEXT(INT(G118/設定!$B$5)*設定!$B$5/10000,"#,##0")&amp;"万")&amp;"〜")</f>
        <v>0万〜</v>
      </c>
      <c r="Q118" s="5" t="n">
        <v>133</v>
      </c>
      <c r="R118" s="12"/>
    </row>
    <row r="119" customFormat="false" ht="15" hidden="false" customHeight="false" outlineLevel="0" collapsed="false">
      <c r="A119" s="5" t="n">
        <v>142</v>
      </c>
      <c r="B119" s="5" t="s">
        <v>20</v>
      </c>
      <c r="C119" s="6" t="s">
        <v>146</v>
      </c>
      <c r="D119" s="7" t="n">
        <v>45991</v>
      </c>
      <c r="E119" s="7" t="n">
        <v>46032</v>
      </c>
      <c r="F119" s="7" t="n">
        <v>46081</v>
      </c>
      <c r="G119" s="8" t="n">
        <v>27800000</v>
      </c>
      <c r="H119" s="8" t="n">
        <v>12700000</v>
      </c>
      <c r="I119" s="8" t="n">
        <v>9000000</v>
      </c>
      <c r="J119" s="9" t="str">
        <f aca="false">IF(F119="","",IFERROR(INDEX(設定!$A$8:$A$15,MATCH(F119,設定!$B$8:$B$15,1)),"対象外"))</f>
        <v>14期</v>
      </c>
      <c r="K119" s="9" t="str">
        <f aca="false">IF(F119="","未売却",IF(F119&lt;=設定!$B$3,"実績","予定"))</f>
        <v>実績</v>
      </c>
      <c r="L119" s="9" t="n">
        <f aca="false">IF(F119="",0,IF(OR(設定!$B$4="全て",K119="実績"),1,0))</f>
        <v>1</v>
      </c>
      <c r="M119" s="10" t="n">
        <f aca="false">IF(OR(G119="",H119=""),"",G119-H119-I119)</f>
        <v>6100000</v>
      </c>
      <c r="N119" s="11" t="n">
        <f aca="false">IF(M119="","",M119/G119)</f>
        <v>0.219424460431655</v>
      </c>
      <c r="O119" s="10" t="n">
        <f aca="false">IF(OR(D119="",F119=""),"",F119-D119)</f>
        <v>90</v>
      </c>
      <c r="P119" s="9" t="str">
        <f aca="false">IF(G119="","",IF(INT(G119/設定!$B$5)*設定!$B$5&gt;=100000000,TEXT(INT(G119/設定!$B$5)*設定!$B$5/100000000,"0.0")&amp;"億",TEXT(INT(G119/設定!$B$5)*設定!$B$5/10000,"#,##0")&amp;"万")&amp;"〜")</f>
        <v>0万〜</v>
      </c>
      <c r="Q119" s="5" t="n">
        <v>146</v>
      </c>
      <c r="R119" s="12"/>
    </row>
    <row r="120" customFormat="false" ht="15" hidden="false" customHeight="false" outlineLevel="0" collapsed="false">
      <c r="A120" s="5" t="n">
        <v>109</v>
      </c>
      <c r="B120" s="6" t="s">
        <v>23</v>
      </c>
      <c r="C120" s="6" t="s">
        <v>147</v>
      </c>
      <c r="D120" s="7" t="n">
        <v>45575</v>
      </c>
      <c r="E120" s="7" t="n">
        <v>46052</v>
      </c>
      <c r="F120" s="7" t="n">
        <v>46096</v>
      </c>
      <c r="G120" s="8" t="n">
        <v>77900000</v>
      </c>
      <c r="H120" s="8" t="n">
        <v>36000000</v>
      </c>
      <c r="I120" s="8" t="n">
        <v>26000000</v>
      </c>
      <c r="J120" s="9" t="str">
        <f aca="false">IF(F120="","",IFERROR(INDEX(設定!$A$8:$A$15,MATCH(F120,設定!$B$8:$B$15,1)),"対象外"))</f>
        <v>14期</v>
      </c>
      <c r="K120" s="9" t="str">
        <f aca="false">IF(F120="","未売却",IF(F120&lt;=設定!$B$3,"実績","予定"))</f>
        <v>実績</v>
      </c>
      <c r="L120" s="9" t="n">
        <f aca="false">IF(F120="",0,IF(OR(設定!$B$4="全て",K120="実績"),1,0))</f>
        <v>1</v>
      </c>
      <c r="M120" s="10" t="n">
        <f aca="false">IF(OR(G120="",H120=""),"",G120-H120-I120)</f>
        <v>15900000</v>
      </c>
      <c r="N120" s="11" t="n">
        <f aca="false">IF(M120="","",M120/G120)</f>
        <v>0.20410783055199</v>
      </c>
      <c r="O120" s="10" t="n">
        <f aca="false">IF(OR(D120="",F120=""),"",F120-D120)</f>
        <v>521</v>
      </c>
      <c r="P120" s="9" t="str">
        <f aca="false">IF(G120="","",IF(INT(G120/設定!$B$5)*設定!$B$5&gt;=100000000,TEXT(INT(G120/設定!$B$5)*設定!$B$5/100000000,"0.0")&amp;"億",TEXT(INT(G120/設定!$B$5)*設定!$B$5/10000,"#,##0")&amp;"万")&amp;"〜")</f>
        <v>5,000万〜</v>
      </c>
      <c r="Q120" s="5" t="n">
        <v>113</v>
      </c>
      <c r="R120" s="12"/>
    </row>
    <row r="121" customFormat="false" ht="15" hidden="false" customHeight="false" outlineLevel="0" collapsed="false">
      <c r="A121" s="5" t="n">
        <v>139</v>
      </c>
      <c r="B121" s="6" t="s">
        <v>42</v>
      </c>
      <c r="C121" s="6" t="s">
        <v>148</v>
      </c>
      <c r="D121" s="7" t="n">
        <v>46081</v>
      </c>
      <c r="E121" s="7" t="n">
        <v>46081</v>
      </c>
      <c r="F121" s="7" t="n">
        <v>46142</v>
      </c>
      <c r="G121" s="8" t="n">
        <v>99000000</v>
      </c>
      <c r="H121" s="8" t="n">
        <v>82200000</v>
      </c>
      <c r="I121" s="8" t="n">
        <v>5900000</v>
      </c>
      <c r="J121" s="9" t="str">
        <f aca="false">IF(F121="","",IFERROR(INDEX(設定!$A$8:$A$15,MATCH(F121,設定!$B$8:$B$15,1)),"対象外"))</f>
        <v>14期</v>
      </c>
      <c r="K121" s="9" t="str">
        <f aca="false">IF(F121="","未売却",IF(F121&lt;=設定!$B$3,"実績","予定"))</f>
        <v>実績</v>
      </c>
      <c r="L121" s="9" t="n">
        <f aca="false">IF(F121="",0,IF(OR(設定!$B$4="全て",K121="実績"),1,0))</f>
        <v>1</v>
      </c>
      <c r="M121" s="10" t="n">
        <f aca="false">IF(OR(G121="",H121=""),"",G121-H121-I121)</f>
        <v>10900000</v>
      </c>
      <c r="N121" s="11" t="n">
        <f aca="false">IF(M121="","",M121/G121)</f>
        <v>0.11010101010101</v>
      </c>
      <c r="O121" s="10" t="n">
        <f aca="false">IF(OR(D121="",F121=""),"",F121-D121)</f>
        <v>61</v>
      </c>
      <c r="P121" s="9" t="str">
        <f aca="false">IF(G121="","",IF(INT(G121/設定!$B$5)*設定!$B$5&gt;=100000000,TEXT(INT(G121/設定!$B$5)*設定!$B$5/100000000,"0.0")&amp;"億",TEXT(INT(G121/設定!$B$5)*設定!$B$5/10000,"#,##0")&amp;"万")&amp;"〜")</f>
        <v>5,000万〜</v>
      </c>
      <c r="Q121" s="5" t="n">
        <v>143</v>
      </c>
      <c r="R121" s="12"/>
    </row>
    <row r="122" customFormat="false" ht="15" hidden="false" customHeight="false" outlineLevel="0" collapsed="false">
      <c r="A122" s="5" t="n">
        <v>140</v>
      </c>
      <c r="B122" s="6" t="s">
        <v>42</v>
      </c>
      <c r="C122" s="6" t="s">
        <v>149</v>
      </c>
      <c r="D122" s="7" t="n">
        <v>46081</v>
      </c>
      <c r="E122" s="7" t="n">
        <v>46081</v>
      </c>
      <c r="F122" s="7" t="n">
        <v>46142</v>
      </c>
      <c r="G122" s="8" t="n">
        <v>98000000</v>
      </c>
      <c r="H122" s="8" t="n">
        <v>75000000</v>
      </c>
      <c r="I122" s="8" t="n">
        <v>0</v>
      </c>
      <c r="J122" s="9" t="str">
        <f aca="false">IF(F122="","",IFERROR(INDEX(設定!$A$8:$A$15,MATCH(F122,設定!$B$8:$B$15,1)),"対象外"))</f>
        <v>14期</v>
      </c>
      <c r="K122" s="9" t="str">
        <f aca="false">IF(F122="","未売却",IF(F122&lt;=設定!$B$3,"実績","予定"))</f>
        <v>実績</v>
      </c>
      <c r="L122" s="9" t="n">
        <f aca="false">IF(F122="",0,IF(OR(設定!$B$4="全て",K122="実績"),1,0))</f>
        <v>1</v>
      </c>
      <c r="M122" s="10" t="n">
        <f aca="false">IF(OR(G122="",H122=""),"",G122-H122-I122)</f>
        <v>23000000</v>
      </c>
      <c r="N122" s="11" t="n">
        <f aca="false">IF(M122="","",M122/G122)</f>
        <v>0.23469387755102</v>
      </c>
      <c r="O122" s="10" t="n">
        <f aca="false">IF(OR(D122="",F122=""),"",F122-D122)</f>
        <v>61</v>
      </c>
      <c r="P122" s="9" t="str">
        <f aca="false">IF(G122="","",IF(INT(G122/設定!$B$5)*設定!$B$5&gt;=100000000,TEXT(INT(G122/設定!$B$5)*設定!$B$5/100000000,"0.0")&amp;"億",TEXT(INT(G122/設定!$B$5)*設定!$B$5/10000,"#,##0")&amp;"万")&amp;"〜")</f>
        <v>5,000万〜</v>
      </c>
      <c r="Q122" s="5" t="n">
        <v>144</v>
      </c>
      <c r="R122" s="12"/>
    </row>
    <row r="123" customFormat="false" ht="15" hidden="false" customHeight="false" outlineLevel="0" collapsed="false">
      <c r="A123" s="5" t="n">
        <v>134</v>
      </c>
      <c r="B123" s="6" t="s">
        <v>42</v>
      </c>
      <c r="C123" s="6" t="s">
        <v>150</v>
      </c>
      <c r="D123" s="7" t="n">
        <v>46006</v>
      </c>
      <c r="E123" s="7" t="n">
        <v>45989</v>
      </c>
      <c r="F123" s="7" t="n">
        <v>46237</v>
      </c>
      <c r="G123" s="8" t="n">
        <v>300000000</v>
      </c>
      <c r="H123" s="8" t="n">
        <v>238000000</v>
      </c>
      <c r="I123" s="8" t="n">
        <v>23300000</v>
      </c>
      <c r="J123" s="9" t="str">
        <f aca="false">IF(F123="","",IFERROR(INDEX(設定!$A$8:$A$15,MATCH(F123,設定!$B$8:$B$15,1)),"対象外"))</f>
        <v>14期</v>
      </c>
      <c r="K123" s="9" t="str">
        <f aca="false">IF(F123="","未売却",IF(F123&lt;=設定!$B$3,"実績","予定"))</f>
        <v>実績</v>
      </c>
      <c r="L123" s="9" t="n">
        <f aca="false">IF(F123="",0,IF(OR(設定!$B$4="全て",K123="実績"),1,0))</f>
        <v>1</v>
      </c>
      <c r="M123" s="10" t="n">
        <f aca="false">IF(OR(G123="",H123=""),"",G123-H123-I123)</f>
        <v>38700000</v>
      </c>
      <c r="N123" s="11" t="n">
        <f aca="false">IF(M123="","",M123/G123)</f>
        <v>0.129</v>
      </c>
      <c r="O123" s="10" t="n">
        <f aca="false">IF(OR(D123="",F123=""),"",F123-D123)</f>
        <v>231</v>
      </c>
      <c r="P123" s="9" t="str">
        <f aca="false">IF(G123="","",IF(INT(G123/設定!$B$5)*設定!$B$5&gt;=100000000,TEXT(INT(G123/設定!$B$5)*設定!$B$5/100000000,"0.0")&amp;"億",TEXT(INT(G123/設定!$B$5)*設定!$B$5/10000,"#,##0")&amp;"万")&amp;"〜")</f>
        <v>3.0億〜</v>
      </c>
      <c r="Q123" s="5" t="n">
        <v>138</v>
      </c>
      <c r="R123" s="12"/>
    </row>
    <row r="124" customFormat="false" ht="15" hidden="false" customHeight="false" outlineLevel="0" collapsed="false">
      <c r="A124" s="5" t="n">
        <v>141</v>
      </c>
      <c r="B124" s="6" t="s">
        <v>26</v>
      </c>
      <c r="C124" s="6" t="s">
        <v>151</v>
      </c>
      <c r="D124" s="7" t="n">
        <v>46073</v>
      </c>
      <c r="E124" s="7" t="n">
        <v>46193</v>
      </c>
      <c r="F124" s="7" t="n">
        <v>46244</v>
      </c>
      <c r="G124" s="8" t="n">
        <v>92800000</v>
      </c>
      <c r="H124" s="8" t="n">
        <v>72300000</v>
      </c>
      <c r="I124" s="8" t="n">
        <v>2700000</v>
      </c>
      <c r="J124" s="9" t="str">
        <f aca="false">IF(F124="","",IFERROR(INDEX(設定!$A$8:$A$15,MATCH(F124,設定!$B$8:$B$15,1)),"対象外"))</f>
        <v>14期</v>
      </c>
      <c r="K124" s="9" t="str">
        <f aca="false">IF(F124="","未売却",IF(F124&lt;=設定!$B$3,"実績","予定"))</f>
        <v>実績</v>
      </c>
      <c r="L124" s="9" t="n">
        <f aca="false">IF(F124="",0,IF(OR(設定!$B$4="全て",K124="実績"),1,0))</f>
        <v>1</v>
      </c>
      <c r="M124" s="10" t="n">
        <f aca="false">IF(OR(G124="",H124=""),"",G124-H124-I124)</f>
        <v>17800000</v>
      </c>
      <c r="N124" s="11" t="n">
        <f aca="false">IF(M124="","",M124/G124)</f>
        <v>0.191810344827586</v>
      </c>
      <c r="O124" s="10" t="n">
        <f aca="false">IF(OR(D124="",F124=""),"",F124-D124)</f>
        <v>171</v>
      </c>
      <c r="P124" s="9" t="str">
        <f aca="false">IF(G124="","",IF(INT(G124/設定!$B$5)*設定!$B$5&gt;=100000000,TEXT(INT(G124/設定!$B$5)*設定!$B$5/100000000,"0.0")&amp;"億",TEXT(INT(G124/設定!$B$5)*設定!$B$5/10000,"#,##0")&amp;"万")&amp;"〜")</f>
        <v>5,000万〜</v>
      </c>
      <c r="Q124" s="5" t="n">
        <v>145</v>
      </c>
      <c r="R124" s="12"/>
    </row>
    <row r="125" customFormat="false" ht="15" hidden="false" customHeight="false" outlineLevel="0" collapsed="false">
      <c r="A125" s="5" t="n">
        <v>137</v>
      </c>
      <c r="B125" s="6" t="s">
        <v>23</v>
      </c>
      <c r="C125" s="6" t="s">
        <v>152</v>
      </c>
      <c r="D125" s="7" t="n">
        <v>45914</v>
      </c>
      <c r="E125" s="7" t="n">
        <v>46042</v>
      </c>
      <c r="F125" s="7" t="n">
        <v>46264</v>
      </c>
      <c r="G125" s="8" t="n">
        <v>165000000</v>
      </c>
      <c r="H125" s="8" t="n">
        <v>90000000</v>
      </c>
      <c r="I125" s="8" t="n">
        <v>38000000</v>
      </c>
      <c r="J125" s="9" t="str">
        <f aca="false">IF(F125="","",IFERROR(INDEX(設定!$A$8:$A$15,MATCH(F125,設定!$B$8:$B$15,1)),"対象外"))</f>
        <v>14期</v>
      </c>
      <c r="K125" s="9" t="str">
        <f aca="false">IF(F125="","未売却",IF(F125&lt;=設定!$B$3,"実績","予定"))</f>
        <v>実績</v>
      </c>
      <c r="L125" s="9" t="n">
        <f aca="false">IF(F125="",0,IF(OR(設定!$B$4="全て",K125="実績"),1,0))</f>
        <v>1</v>
      </c>
      <c r="M125" s="10" t="n">
        <f aca="false">IF(OR(G125="",H125=""),"",G125-H125-I125)</f>
        <v>37000000</v>
      </c>
      <c r="N125" s="11" t="n">
        <f aca="false">IF(M125="","",M125/G125)</f>
        <v>0.224242424242424</v>
      </c>
      <c r="O125" s="10" t="n">
        <f aca="false">IF(OR(D125="",F125=""),"",F125-D125)</f>
        <v>350</v>
      </c>
      <c r="P125" s="9" t="str">
        <f aca="false">IF(G125="","",IF(INT(G125/設定!$B$5)*設定!$B$5&gt;=100000000,TEXT(INT(G125/設定!$B$5)*設定!$B$5/100000000,"0.0")&amp;"億",TEXT(INT(G125/設定!$B$5)*設定!$B$5/10000,"#,##0")&amp;"万")&amp;"〜")</f>
        <v>1.5億〜</v>
      </c>
      <c r="Q125" s="5" t="n">
        <v>141</v>
      </c>
      <c r="R125" s="12"/>
    </row>
    <row r="126" customFormat="false" ht="15" hidden="false" customHeight="false" outlineLevel="0" collapsed="false">
      <c r="A126" s="5" t="n">
        <v>143</v>
      </c>
      <c r="B126" s="5" t="s">
        <v>20</v>
      </c>
      <c r="C126" s="6" t="s">
        <v>153</v>
      </c>
      <c r="D126" s="7" t="n">
        <v>45991</v>
      </c>
      <c r="E126" s="7" t="n">
        <v>46213</v>
      </c>
      <c r="F126" s="7" t="n">
        <v>46264</v>
      </c>
      <c r="G126" s="8" t="n">
        <v>52800000</v>
      </c>
      <c r="H126" s="8" t="n">
        <v>29800000</v>
      </c>
      <c r="I126" s="8" t="n">
        <v>14300000</v>
      </c>
      <c r="J126" s="9" t="str">
        <f aca="false">IF(F126="","",IFERROR(INDEX(設定!$A$8:$A$15,MATCH(F126,設定!$B$8:$B$15,1)),"対象外"))</f>
        <v>14期</v>
      </c>
      <c r="K126" s="9" t="str">
        <f aca="false">IF(F126="","未売却",IF(F126&lt;=設定!$B$3,"実績","予定"))</f>
        <v>実績</v>
      </c>
      <c r="L126" s="9" t="n">
        <f aca="false">IF(F126="",0,IF(OR(設定!$B$4="全て",K126="実績"),1,0))</f>
        <v>1</v>
      </c>
      <c r="M126" s="10" t="n">
        <f aca="false">IF(OR(G126="",H126=""),"",G126-H126-I126)</f>
        <v>8700000</v>
      </c>
      <c r="N126" s="11" t="n">
        <f aca="false">IF(M126="","",M126/G126)</f>
        <v>0.164772727272727</v>
      </c>
      <c r="O126" s="10" t="n">
        <f aca="false">IF(OR(D126="",F126=""),"",F126-D126)</f>
        <v>273</v>
      </c>
      <c r="P126" s="9" t="str">
        <f aca="false">IF(G126="","",IF(INT(G126/設定!$B$5)*設定!$B$5&gt;=100000000,TEXT(INT(G126/設定!$B$5)*設定!$B$5/100000000,"0.0")&amp;"億",TEXT(INT(G126/設定!$B$5)*設定!$B$5/10000,"#,##0")&amp;"万")&amp;"〜")</f>
        <v>5,000万〜</v>
      </c>
      <c r="Q126" s="5" t="n">
        <v>147</v>
      </c>
      <c r="R126" s="12"/>
    </row>
    <row r="127" customFormat="false" ht="15" hidden="false" customHeight="false" outlineLevel="0" collapsed="false">
      <c r="A127" s="5" t="n">
        <v>171</v>
      </c>
      <c r="B127" s="5" t="s">
        <v>20</v>
      </c>
      <c r="C127" s="6" t="s">
        <v>154</v>
      </c>
      <c r="D127" s="7" t="n">
        <v>46265</v>
      </c>
      <c r="E127" s="7" t="n">
        <v>46234</v>
      </c>
      <c r="F127" s="7" t="n">
        <v>46265</v>
      </c>
      <c r="G127" s="8" t="n">
        <v>12000000</v>
      </c>
      <c r="H127" s="8" t="n">
        <v>7800000</v>
      </c>
      <c r="I127" s="8" t="n">
        <v>0</v>
      </c>
      <c r="J127" s="9" t="str">
        <f aca="false">IF(F127="","",IFERROR(INDEX(設定!$A$8:$A$15,MATCH(F127,設定!$B$8:$B$15,1)),"対象外"))</f>
        <v>14期</v>
      </c>
      <c r="K127" s="9" t="str">
        <f aca="false">IF(F127="","未売却",IF(F127&lt;=設定!$B$3,"実績","予定"))</f>
        <v>実績</v>
      </c>
      <c r="L127" s="9" t="n">
        <f aca="false">IF(F127="",0,IF(OR(設定!$B$4="全て",K127="実績"),1,0))</f>
        <v>1</v>
      </c>
      <c r="M127" s="10" t="n">
        <f aca="false">IF(OR(G127="",H127=""),"",G127-H127-I127)</f>
        <v>4200000</v>
      </c>
      <c r="N127" s="11" t="n">
        <f aca="false">IF(M127="","",M127/G127)</f>
        <v>0.35</v>
      </c>
      <c r="O127" s="10" t="n">
        <f aca="false">IF(OR(D127="",F127=""),"",F127-D127)</f>
        <v>0</v>
      </c>
      <c r="P127" s="9" t="str">
        <f aca="false">IF(G127="","",IF(INT(G127/設定!$B$5)*設定!$B$5&gt;=100000000,TEXT(INT(G127/設定!$B$5)*設定!$B$5/100000000,"0.0")&amp;"億",TEXT(INT(G127/設定!$B$5)*設定!$B$5/10000,"#,##0")&amp;"万")&amp;"〜")</f>
        <v>0万〜</v>
      </c>
      <c r="Q127" s="5" t="n">
        <v>175</v>
      </c>
      <c r="R127" s="12"/>
    </row>
    <row r="128" customFormat="false" ht="15" hidden="false" customHeight="false" outlineLevel="0" collapsed="false">
      <c r="A128" s="5" t="n">
        <v>147</v>
      </c>
      <c r="B128" s="6" t="s">
        <v>42</v>
      </c>
      <c r="C128" s="6" t="s">
        <v>155</v>
      </c>
      <c r="D128" s="7" t="n">
        <v>46073</v>
      </c>
      <c r="E128" s="7" t="n">
        <v>46177</v>
      </c>
      <c r="F128" s="7" t="n">
        <v>46276</v>
      </c>
      <c r="G128" s="8" t="n">
        <v>70000000</v>
      </c>
      <c r="H128" s="8" t="n">
        <v>51900000</v>
      </c>
      <c r="I128" s="8" t="n">
        <v>10700000</v>
      </c>
      <c r="J128" s="9" t="str">
        <f aca="false">IF(F128="","",IFERROR(INDEX(設定!$A$8:$A$15,MATCH(F128,設定!$B$8:$B$15,1)),"対象外"))</f>
        <v>14期</v>
      </c>
      <c r="K128" s="9" t="str">
        <f aca="false">IF(F128="","未売却",IF(F128&lt;=設定!$B$3,"実績","予定"))</f>
        <v>実績</v>
      </c>
      <c r="L128" s="9" t="n">
        <f aca="false">IF(F128="",0,IF(OR(設定!$B$4="全て",K128="実績"),1,0))</f>
        <v>1</v>
      </c>
      <c r="M128" s="10" t="n">
        <f aca="false">IF(OR(G128="",H128=""),"",G128-H128-I128)</f>
        <v>7400000</v>
      </c>
      <c r="N128" s="11" t="n">
        <f aca="false">IF(M128="","",M128/G128)</f>
        <v>0.105714285714286</v>
      </c>
      <c r="O128" s="10" t="n">
        <f aca="false">IF(OR(D128="",F128=""),"",F128-D128)</f>
        <v>203</v>
      </c>
      <c r="P128" s="9" t="str">
        <f aca="false">IF(G128="","",IF(INT(G128/設定!$B$5)*設定!$B$5&gt;=100000000,TEXT(INT(G128/設定!$B$5)*設定!$B$5/100000000,"0.0")&amp;"億",TEXT(INT(G128/設定!$B$5)*設定!$B$5/10000,"#,##0")&amp;"万")&amp;"〜")</f>
        <v>5,000万〜</v>
      </c>
      <c r="Q128" s="5" t="n">
        <v>151</v>
      </c>
      <c r="R128" s="12"/>
    </row>
    <row r="129" customFormat="false" ht="15" hidden="false" customHeight="false" outlineLevel="0" collapsed="false">
      <c r="A129" s="5" t="n">
        <v>138</v>
      </c>
      <c r="B129" s="6" t="s">
        <v>156</v>
      </c>
      <c r="C129" s="6" t="s">
        <v>157</v>
      </c>
      <c r="D129" s="7" t="n">
        <v>45933</v>
      </c>
      <c r="E129" s="7" t="n">
        <v>46257</v>
      </c>
      <c r="F129" s="7" t="n">
        <v>46295</v>
      </c>
      <c r="G129" s="8" t="n">
        <v>37000000</v>
      </c>
      <c r="H129" s="8" t="n">
        <v>31400000</v>
      </c>
      <c r="I129" s="8" t="n">
        <v>0</v>
      </c>
      <c r="J129" s="9" t="str">
        <f aca="false">IF(F129="","",IFERROR(INDEX(設定!$A$8:$A$15,MATCH(F129,設定!$B$8:$B$15,1)),"対象外"))</f>
        <v>14期</v>
      </c>
      <c r="K129" s="9" t="str">
        <f aca="false">IF(F129="","未売却",IF(F129&lt;=設定!$B$3,"実績","予定"))</f>
        <v>予定</v>
      </c>
      <c r="L129" s="9" t="n">
        <f aca="false">IF(F129="",0,IF(OR(設定!$B$4="全て",K129="実績"),1,0))</f>
        <v>1</v>
      </c>
      <c r="M129" s="10" t="n">
        <f aca="false">IF(OR(G129="",H129=""),"",G129-H129-I129)</f>
        <v>5600000</v>
      </c>
      <c r="N129" s="11" t="n">
        <f aca="false">IF(M129="","",M129/G129)</f>
        <v>0.151351351351351</v>
      </c>
      <c r="O129" s="10" t="n">
        <f aca="false">IF(OR(D129="",F129=""),"",F129-D129)</f>
        <v>362</v>
      </c>
      <c r="P129" s="9" t="str">
        <f aca="false">IF(G129="","",IF(INT(G129/設定!$B$5)*設定!$B$5&gt;=100000000,TEXT(INT(G129/設定!$B$5)*設定!$B$5/100000000,"0.0")&amp;"億",TEXT(INT(G129/設定!$B$5)*設定!$B$5/10000,"#,##0")&amp;"万")&amp;"〜")</f>
        <v>0万〜</v>
      </c>
      <c r="Q129" s="5" t="n">
        <v>142</v>
      </c>
      <c r="R129" s="12"/>
    </row>
    <row r="130" customFormat="false" ht="15" hidden="false" customHeight="false" outlineLevel="0" collapsed="false">
      <c r="A130" s="5" t="n">
        <v>156</v>
      </c>
      <c r="B130" s="6" t="s">
        <v>42</v>
      </c>
      <c r="C130" s="6" t="s">
        <v>158</v>
      </c>
      <c r="D130" s="7" t="n">
        <v>46203</v>
      </c>
      <c r="E130" s="7" t="n">
        <v>46244</v>
      </c>
      <c r="F130" s="7" t="n">
        <v>46295</v>
      </c>
      <c r="G130" s="8" t="n">
        <v>76000000</v>
      </c>
      <c r="H130" s="8" t="n">
        <v>26250000</v>
      </c>
      <c r="I130" s="8" t="n">
        <v>1600000</v>
      </c>
      <c r="J130" s="9" t="str">
        <f aca="false">IF(F130="","",IFERROR(INDEX(設定!$A$8:$A$15,MATCH(F130,設定!$B$8:$B$15,1)),"対象外"))</f>
        <v>14期</v>
      </c>
      <c r="K130" s="9" t="str">
        <f aca="false">IF(F130="","未売却",IF(F130&lt;=設定!$B$3,"実績","予定"))</f>
        <v>予定</v>
      </c>
      <c r="L130" s="9" t="n">
        <f aca="false">IF(F130="",0,IF(OR(設定!$B$4="全て",K130="実績"),1,0))</f>
        <v>1</v>
      </c>
      <c r="M130" s="10" t="n">
        <f aca="false">IF(OR(G130="",H130=""),"",G130-H130-I130)</f>
        <v>48150000</v>
      </c>
      <c r="N130" s="11" t="n">
        <f aca="false">IF(M130="","",M130/G130)</f>
        <v>0.633552631578947</v>
      </c>
      <c r="O130" s="10" t="n">
        <f aca="false">IF(OR(D130="",F130=""),"",F130-D130)</f>
        <v>92</v>
      </c>
      <c r="P130" s="9" t="str">
        <f aca="false">IF(G130="","",IF(INT(G130/設定!$B$5)*設定!$B$5&gt;=100000000,TEXT(INT(G130/設定!$B$5)*設定!$B$5/100000000,"0.0")&amp;"億",TEXT(INT(G130/設定!$B$5)*設定!$B$5/10000,"#,##0")&amp;"万")&amp;"〜")</f>
        <v>5,000万〜</v>
      </c>
      <c r="Q130" s="5" t="n">
        <v>160</v>
      </c>
      <c r="R130" s="12"/>
    </row>
    <row r="131" customFormat="false" ht="15" hidden="false" customHeight="false" outlineLevel="0" collapsed="false">
      <c r="A131" s="5" t="n">
        <v>157</v>
      </c>
      <c r="B131" s="6" t="s">
        <v>42</v>
      </c>
      <c r="C131" s="6" t="s">
        <v>159</v>
      </c>
      <c r="D131" s="7" t="n">
        <v>46203</v>
      </c>
      <c r="E131" s="7" t="n">
        <v>46244</v>
      </c>
      <c r="F131" s="7" t="n">
        <v>46295</v>
      </c>
      <c r="G131" s="8"/>
      <c r="H131" s="8" t="n">
        <v>26250000</v>
      </c>
      <c r="I131" s="8" t="n">
        <v>1600000</v>
      </c>
      <c r="J131" s="9" t="str">
        <f aca="false">IF(F131="","",IFERROR(INDEX(設定!$A$8:$A$15,MATCH(F131,設定!$B$8:$B$15,1)),"対象外"))</f>
        <v>14期</v>
      </c>
      <c r="K131" s="9" t="str">
        <f aca="false">IF(F131="","未売却",IF(F131&lt;=設定!$B$3,"実績","予定"))</f>
        <v>予定</v>
      </c>
      <c r="L131" s="9" t="n">
        <f aca="false">IF(F131="",0,IF(OR(設定!$B$4="全て",K131="実績"),1,0))</f>
        <v>1</v>
      </c>
      <c r="M131" s="10" t="str">
        <f aca="false">IF(OR(G131="",H131=""),"",G131-H131-I131)</f>
        <v/>
      </c>
      <c r="N131" s="11" t="str">
        <f aca="false">IF(M131="","",M131/G131)</f>
        <v/>
      </c>
      <c r="O131" s="10" t="n">
        <f aca="false">IF(OR(D131="",F131=""),"",F131-D131)</f>
        <v>92</v>
      </c>
      <c r="P131" s="9" t="str">
        <f aca="false">IF(G131="","",IF(INT(G131/設定!$B$5)*設定!$B$5&gt;=100000000,TEXT(INT(G131/設定!$B$5)*設定!$B$5/100000000,"0.0")&amp;"億",TEXT(INT(G131/設定!$B$5)*設定!$B$5/10000,"#,##0")&amp;"万")&amp;"〜")</f>
        <v/>
      </c>
      <c r="Q131" s="5" t="n">
        <v>161</v>
      </c>
      <c r="R131" s="12" t="s">
        <v>160</v>
      </c>
    </row>
    <row r="132" customFormat="false" ht="15" hidden="false" customHeight="false" outlineLevel="0" collapsed="false">
      <c r="A132" s="5" t="n">
        <v>158</v>
      </c>
      <c r="B132" s="6" t="s">
        <v>42</v>
      </c>
      <c r="C132" s="6" t="s">
        <v>161</v>
      </c>
      <c r="D132" s="7" t="n">
        <v>46203</v>
      </c>
      <c r="E132" s="7" t="n">
        <v>46111</v>
      </c>
      <c r="F132" s="7" t="n">
        <v>46295</v>
      </c>
      <c r="G132" s="8" t="n">
        <v>135000000</v>
      </c>
      <c r="H132" s="8" t="n">
        <v>101500000</v>
      </c>
      <c r="I132" s="8" t="n">
        <v>0</v>
      </c>
      <c r="J132" s="9" t="str">
        <f aca="false">IF(F132="","",IFERROR(INDEX(設定!$A$8:$A$15,MATCH(F132,設定!$B$8:$B$15,1)),"対象外"))</f>
        <v>14期</v>
      </c>
      <c r="K132" s="9" t="str">
        <f aca="false">IF(F132="","未売却",IF(F132&lt;=設定!$B$3,"実績","予定"))</f>
        <v>予定</v>
      </c>
      <c r="L132" s="9" t="n">
        <f aca="false">IF(F132="",0,IF(OR(設定!$B$4="全て",K132="実績"),1,0))</f>
        <v>1</v>
      </c>
      <c r="M132" s="10" t="n">
        <f aca="false">IF(OR(G132="",H132=""),"",G132-H132-I132)</f>
        <v>33500000</v>
      </c>
      <c r="N132" s="11" t="n">
        <f aca="false">IF(M132="","",M132/G132)</f>
        <v>0.248148148148148</v>
      </c>
      <c r="O132" s="10" t="n">
        <f aca="false">IF(OR(D132="",F132=""),"",F132-D132)</f>
        <v>92</v>
      </c>
      <c r="P132" s="9" t="str">
        <f aca="false">IF(G132="","",IF(INT(G132/設定!$B$5)*設定!$B$5&gt;=100000000,TEXT(INT(G132/設定!$B$5)*設定!$B$5/100000000,"0.0")&amp;"億",TEXT(INT(G132/設定!$B$5)*設定!$B$5/10000,"#,##0")&amp;"万")&amp;"〜")</f>
        <v>1.0億〜</v>
      </c>
      <c r="Q132" s="5" t="n">
        <v>162</v>
      </c>
      <c r="R132" s="12"/>
    </row>
    <row r="133" customFormat="false" ht="15" hidden="false" customHeight="false" outlineLevel="0" collapsed="false">
      <c r="A133" s="5" t="n">
        <v>159</v>
      </c>
      <c r="B133" s="6" t="s">
        <v>42</v>
      </c>
      <c r="C133" s="6" t="s">
        <v>162</v>
      </c>
      <c r="D133" s="7" t="n">
        <v>46203</v>
      </c>
      <c r="E133" s="7" t="n">
        <v>46111</v>
      </c>
      <c r="F133" s="7" t="n">
        <v>46295</v>
      </c>
      <c r="G133" s="8" t="n">
        <v>135000000</v>
      </c>
      <c r="H133" s="8" t="n">
        <v>101500000</v>
      </c>
      <c r="I133" s="8" t="n">
        <v>0</v>
      </c>
      <c r="J133" s="9" t="str">
        <f aca="false">IF(F133="","",IFERROR(INDEX(設定!$A$8:$A$15,MATCH(F133,設定!$B$8:$B$15,1)),"対象外"))</f>
        <v>14期</v>
      </c>
      <c r="K133" s="9" t="str">
        <f aca="false">IF(F133="","未売却",IF(F133&lt;=設定!$B$3,"実績","予定"))</f>
        <v>予定</v>
      </c>
      <c r="L133" s="9" t="n">
        <f aca="false">IF(F133="",0,IF(OR(設定!$B$4="全て",K133="実績"),1,0))</f>
        <v>1</v>
      </c>
      <c r="M133" s="10" t="n">
        <f aca="false">IF(OR(G133="",H133=""),"",G133-H133-I133)</f>
        <v>33500000</v>
      </c>
      <c r="N133" s="11" t="n">
        <f aca="false">IF(M133="","",M133/G133)</f>
        <v>0.248148148148148</v>
      </c>
      <c r="O133" s="10" t="n">
        <f aca="false">IF(OR(D133="",F133=""),"",F133-D133)</f>
        <v>92</v>
      </c>
      <c r="P133" s="9" t="str">
        <f aca="false">IF(G133="","",IF(INT(G133/設定!$B$5)*設定!$B$5&gt;=100000000,TEXT(INT(G133/設定!$B$5)*設定!$B$5/100000000,"0.0")&amp;"億",TEXT(INT(G133/設定!$B$5)*設定!$B$5/10000,"#,##0")&amp;"万")&amp;"〜")</f>
        <v>1.0億〜</v>
      </c>
      <c r="Q133" s="5" t="n">
        <v>163</v>
      </c>
      <c r="R133" s="12"/>
    </row>
    <row r="134" customFormat="false" ht="15" hidden="false" customHeight="false" outlineLevel="0" collapsed="false">
      <c r="A134" s="5" t="n">
        <v>165</v>
      </c>
      <c r="B134" s="5" t="s">
        <v>20</v>
      </c>
      <c r="C134" s="6" t="s">
        <v>163</v>
      </c>
      <c r="D134" s="7" t="n">
        <v>46203</v>
      </c>
      <c r="E134" s="7" t="n">
        <v>46292</v>
      </c>
      <c r="F134" s="7" t="n">
        <v>46325</v>
      </c>
      <c r="G134" s="8" t="n">
        <v>29800000</v>
      </c>
      <c r="H134" s="8" t="n">
        <v>13760000</v>
      </c>
      <c r="I134" s="8" t="n">
        <v>7350000</v>
      </c>
      <c r="J134" s="9" t="str">
        <f aca="false">IF(F134="","",IFERROR(INDEX(設定!$A$8:$A$15,MATCH(F134,設定!$B$8:$B$15,1)),"対象外"))</f>
        <v>15期</v>
      </c>
      <c r="K134" s="9" t="str">
        <f aca="false">IF(F134="","未売却",IF(F134&lt;=設定!$B$3,"実績","予定"))</f>
        <v>予定</v>
      </c>
      <c r="L134" s="9" t="n">
        <f aca="false">IF(F134="",0,IF(OR(設定!$B$4="全て",K134="実績"),1,0))</f>
        <v>1</v>
      </c>
      <c r="M134" s="10" t="n">
        <f aca="false">IF(OR(G134="",H134=""),"",G134-H134-I134)</f>
        <v>8690000</v>
      </c>
      <c r="N134" s="11" t="n">
        <f aca="false">IF(M134="","",M134/G134)</f>
        <v>0.291610738255034</v>
      </c>
      <c r="O134" s="10" t="n">
        <f aca="false">IF(OR(D134="",F134=""),"",F134-D134)</f>
        <v>122</v>
      </c>
      <c r="P134" s="9" t="str">
        <f aca="false">IF(G134="","",IF(INT(G134/設定!$B$5)*設定!$B$5&gt;=100000000,TEXT(INT(G134/設定!$B$5)*設定!$B$5/100000000,"0.0")&amp;"億",TEXT(INT(G134/設定!$B$5)*設定!$B$5/10000,"#,##0")&amp;"万")&amp;"〜")</f>
        <v>0万〜</v>
      </c>
      <c r="Q134" s="5" t="n">
        <v>169</v>
      </c>
      <c r="R134" s="12"/>
    </row>
    <row r="135" customFormat="false" ht="15" hidden="false" customHeight="false" outlineLevel="0" collapsed="false">
      <c r="A135" s="5" t="n">
        <v>161</v>
      </c>
      <c r="B135" s="6" t="s">
        <v>42</v>
      </c>
      <c r="C135" s="6" t="s">
        <v>164</v>
      </c>
      <c r="D135" s="7" t="n">
        <v>46112</v>
      </c>
      <c r="E135" s="7" t="n">
        <v>46294</v>
      </c>
      <c r="F135" s="7" t="n">
        <v>46353</v>
      </c>
      <c r="G135" s="8" t="n">
        <v>180000000</v>
      </c>
      <c r="H135" s="8" t="n">
        <v>156600000</v>
      </c>
      <c r="I135" s="8" t="n">
        <v>5666000</v>
      </c>
      <c r="J135" s="9" t="str">
        <f aca="false">IF(F135="","",IFERROR(INDEX(設定!$A$8:$A$15,MATCH(F135,設定!$B$8:$B$15,1)),"対象外"))</f>
        <v>15期</v>
      </c>
      <c r="K135" s="9" t="str">
        <f aca="false">IF(F135="","未売却",IF(F135&lt;=設定!$B$3,"実績","予定"))</f>
        <v>予定</v>
      </c>
      <c r="L135" s="9" t="n">
        <f aca="false">IF(F135="",0,IF(OR(設定!$B$4="全て",K135="実績"),1,0))</f>
        <v>1</v>
      </c>
      <c r="M135" s="10" t="n">
        <f aca="false">IF(OR(G135="",H135=""),"",G135-H135-I135)</f>
        <v>17734000</v>
      </c>
      <c r="N135" s="11" t="n">
        <f aca="false">IF(M135="","",M135/G135)</f>
        <v>0.0985222222222222</v>
      </c>
      <c r="O135" s="10" t="n">
        <f aca="false">IF(OR(D135="",F135=""),"",F135-D135)</f>
        <v>241</v>
      </c>
      <c r="P135" s="9" t="str">
        <f aca="false">IF(G135="","",IF(INT(G135/設定!$B$5)*設定!$B$5&gt;=100000000,TEXT(INT(G135/設定!$B$5)*設定!$B$5/100000000,"0.0")&amp;"億",TEXT(INT(G135/設定!$B$5)*設定!$B$5/10000,"#,##0")&amp;"万")&amp;"〜")</f>
        <v>1.5億〜</v>
      </c>
      <c r="Q135" s="5" t="n">
        <v>165</v>
      </c>
      <c r="R135" s="12"/>
    </row>
    <row r="136" customFormat="false" ht="15" hidden="false" customHeight="false" outlineLevel="0" collapsed="false">
      <c r="A136" s="5" t="n">
        <v>151</v>
      </c>
      <c r="B136" s="6" t="s">
        <v>23</v>
      </c>
      <c r="C136" s="6" t="s">
        <v>165</v>
      </c>
      <c r="D136" s="7" t="n">
        <v>46050</v>
      </c>
      <c r="E136" s="7" t="n">
        <v>46202</v>
      </c>
      <c r="F136" s="7" t="n">
        <v>46386</v>
      </c>
      <c r="G136" s="8" t="n">
        <v>54000000</v>
      </c>
      <c r="H136" s="8" t="n">
        <v>19500000</v>
      </c>
      <c r="I136" s="8" t="n">
        <v>33000000</v>
      </c>
      <c r="J136" s="9" t="str">
        <f aca="false">IF(F136="","",IFERROR(INDEX(設定!$A$8:$A$15,MATCH(F136,設定!$B$8:$B$15,1)),"対象外"))</f>
        <v>15期</v>
      </c>
      <c r="K136" s="9" t="str">
        <f aca="false">IF(F136="","未売却",IF(F136&lt;=設定!$B$3,"実績","予定"))</f>
        <v>予定</v>
      </c>
      <c r="L136" s="9" t="n">
        <f aca="false">IF(F136="",0,IF(OR(設定!$B$4="全て",K136="実績"),1,0))</f>
        <v>1</v>
      </c>
      <c r="M136" s="10" t="n">
        <f aca="false">IF(OR(G136="",H136=""),"",G136-H136-I136)</f>
        <v>1500000</v>
      </c>
      <c r="N136" s="11" t="n">
        <f aca="false">IF(M136="","",M136/G136)</f>
        <v>0.0277777777777778</v>
      </c>
      <c r="O136" s="10" t="n">
        <f aca="false">IF(OR(D136="",F136=""),"",F136-D136)</f>
        <v>336</v>
      </c>
      <c r="P136" s="9" t="str">
        <f aca="false">IF(G136="","",IF(INT(G136/設定!$B$5)*設定!$B$5&gt;=100000000,TEXT(INT(G136/設定!$B$5)*設定!$B$5/100000000,"0.0")&amp;"億",TEXT(INT(G136/設定!$B$5)*設定!$B$5/10000,"#,##0")&amp;"万")&amp;"〜")</f>
        <v>5,000万〜</v>
      </c>
      <c r="Q136" s="5" t="n">
        <v>155</v>
      </c>
      <c r="R136" s="12"/>
    </row>
    <row r="137" customFormat="false" ht="15" hidden="false" customHeight="false" outlineLevel="0" collapsed="false">
      <c r="A137" s="5" t="n">
        <v>153</v>
      </c>
      <c r="B137" s="6" t="s">
        <v>23</v>
      </c>
      <c r="C137" s="6" t="s">
        <v>166</v>
      </c>
      <c r="D137" s="7" t="n">
        <v>46052</v>
      </c>
      <c r="E137" s="7" t="n">
        <v>46244</v>
      </c>
      <c r="F137" s="7" t="n">
        <v>46386</v>
      </c>
      <c r="G137" s="8" t="n">
        <v>45800000</v>
      </c>
      <c r="H137" s="8" t="n">
        <v>19300000</v>
      </c>
      <c r="I137" s="8" t="n">
        <v>17000000</v>
      </c>
      <c r="J137" s="9" t="str">
        <f aca="false">IF(F137="","",IFERROR(INDEX(設定!$A$8:$A$15,MATCH(F137,設定!$B$8:$B$15,1)),"対象外"))</f>
        <v>15期</v>
      </c>
      <c r="K137" s="9" t="str">
        <f aca="false">IF(F137="","未売却",IF(F137&lt;=設定!$B$3,"実績","予定"))</f>
        <v>予定</v>
      </c>
      <c r="L137" s="9" t="n">
        <f aca="false">IF(F137="",0,IF(OR(設定!$B$4="全て",K137="実績"),1,0))</f>
        <v>1</v>
      </c>
      <c r="M137" s="10" t="n">
        <f aca="false">IF(OR(G137="",H137=""),"",G137-H137-I137)</f>
        <v>9500000</v>
      </c>
      <c r="N137" s="11" t="n">
        <f aca="false">IF(M137="","",M137/G137)</f>
        <v>0.207423580786026</v>
      </c>
      <c r="O137" s="10" t="n">
        <f aca="false">IF(OR(D137="",F137=""),"",F137-D137)</f>
        <v>334</v>
      </c>
      <c r="P137" s="9" t="str">
        <f aca="false">IF(G137="","",IF(INT(G137/設定!$B$5)*設定!$B$5&gt;=100000000,TEXT(INT(G137/設定!$B$5)*設定!$B$5/100000000,"0.0")&amp;"億",TEXT(INT(G137/設定!$B$5)*設定!$B$5/10000,"#,##0")&amp;"万")&amp;"〜")</f>
        <v>0万〜</v>
      </c>
      <c r="Q137" s="5" t="n">
        <v>157</v>
      </c>
      <c r="R137" s="12"/>
    </row>
    <row r="138" customFormat="false" ht="15" hidden="false" customHeight="false" outlineLevel="0" collapsed="false">
      <c r="A138" s="5" t="n">
        <v>152</v>
      </c>
      <c r="B138" s="6" t="s">
        <v>23</v>
      </c>
      <c r="C138" s="6" t="s">
        <v>167</v>
      </c>
      <c r="D138" s="7" t="n">
        <v>46051</v>
      </c>
      <c r="E138" s="7" t="n">
        <v>46285</v>
      </c>
      <c r="F138" s="7" t="n">
        <v>46407</v>
      </c>
      <c r="G138" s="8" t="n">
        <v>50500000</v>
      </c>
      <c r="H138" s="8" t="n">
        <v>19500000</v>
      </c>
      <c r="I138" s="8" t="n">
        <v>17000000</v>
      </c>
      <c r="J138" s="9" t="str">
        <f aca="false">IF(F138="","",IFERROR(INDEX(設定!$A$8:$A$15,MATCH(F138,設定!$B$8:$B$15,1)),"対象外"))</f>
        <v>15期</v>
      </c>
      <c r="K138" s="9" t="str">
        <f aca="false">IF(F138="","未売却",IF(F138&lt;=設定!$B$3,"実績","予定"))</f>
        <v>予定</v>
      </c>
      <c r="L138" s="9" t="n">
        <f aca="false">IF(F138="",0,IF(OR(設定!$B$4="全て",K138="実績"),1,0))</f>
        <v>1</v>
      </c>
      <c r="M138" s="10" t="n">
        <f aca="false">IF(OR(G138="",H138=""),"",G138-H138-I138)</f>
        <v>14000000</v>
      </c>
      <c r="N138" s="11" t="n">
        <f aca="false">IF(M138="","",M138/G138)</f>
        <v>0.277227722772277</v>
      </c>
      <c r="O138" s="10" t="n">
        <f aca="false">IF(OR(D138="",F138=""),"",F138-D138)</f>
        <v>356</v>
      </c>
      <c r="P138" s="9" t="str">
        <f aca="false">IF(G138="","",IF(INT(G138/設定!$B$5)*設定!$B$5&gt;=100000000,TEXT(INT(G138/設定!$B$5)*設定!$B$5/100000000,"0.0")&amp;"億",TEXT(INT(G138/設定!$B$5)*設定!$B$5/10000,"#,##0")&amp;"万")&amp;"〜")</f>
        <v>5,000万〜</v>
      </c>
      <c r="Q138" s="5" t="n">
        <v>156</v>
      </c>
      <c r="R138" s="12"/>
    </row>
    <row r="139" customFormat="false" ht="15" hidden="false" customHeight="false" outlineLevel="0" collapsed="false">
      <c r="A139" s="5" t="n">
        <v>154</v>
      </c>
      <c r="B139" s="6" t="s">
        <v>42</v>
      </c>
      <c r="C139" s="6" t="s">
        <v>168</v>
      </c>
      <c r="D139" s="7" t="n">
        <v>46203</v>
      </c>
      <c r="E139" s="7" t="n">
        <v>46193</v>
      </c>
      <c r="F139" s="7" t="n">
        <v>46456</v>
      </c>
      <c r="G139" s="8" t="n">
        <v>69800000</v>
      </c>
      <c r="H139" s="8" t="n">
        <v>60250000</v>
      </c>
      <c r="I139" s="8" t="n">
        <v>37500000</v>
      </c>
      <c r="J139" s="9" t="str">
        <f aca="false">IF(F139="","",IFERROR(INDEX(設定!$A$8:$A$15,MATCH(F139,設定!$B$8:$B$15,1)),"対象外"))</f>
        <v>15期</v>
      </c>
      <c r="K139" s="9" t="str">
        <f aca="false">IF(F139="","未売却",IF(F139&lt;=設定!$B$3,"実績","予定"))</f>
        <v>予定</v>
      </c>
      <c r="L139" s="9" t="n">
        <f aca="false">IF(F139="",0,IF(OR(設定!$B$4="全て",K139="実績"),1,0))</f>
        <v>1</v>
      </c>
      <c r="M139" s="10" t="n">
        <f aca="false">IF(OR(G139="",H139=""),"",G139-H139-I139)</f>
        <v>-27950000</v>
      </c>
      <c r="N139" s="11" t="n">
        <f aca="false">IF(M139="","",M139/G139)</f>
        <v>-0.400429799426934</v>
      </c>
      <c r="O139" s="10" t="n">
        <f aca="false">IF(OR(D139="",F139=""),"",F139-D139)</f>
        <v>253</v>
      </c>
      <c r="P139" s="9" t="str">
        <f aca="false">IF(G139="","",IF(INT(G139/設定!$B$5)*設定!$B$5&gt;=100000000,TEXT(INT(G139/設定!$B$5)*設定!$B$5/100000000,"0.0")&amp;"億",TEXT(INT(G139/設定!$B$5)*設定!$B$5/10000,"#,##0")&amp;"万")&amp;"〜")</f>
        <v>5,000万〜</v>
      </c>
      <c r="Q139" s="5" t="n">
        <v>158</v>
      </c>
      <c r="R139" s="12" t="s">
        <v>64</v>
      </c>
    </row>
    <row r="140" customFormat="false" ht="15" hidden="false" customHeight="false" outlineLevel="0" collapsed="false">
      <c r="A140" s="5" t="n">
        <v>1</v>
      </c>
      <c r="B140" s="6" t="s">
        <v>23</v>
      </c>
      <c r="C140" s="6" t="s">
        <v>169</v>
      </c>
      <c r="D140" s="7" t="n">
        <v>44413</v>
      </c>
      <c r="E140" s="7"/>
      <c r="F140" s="7"/>
      <c r="G140" s="8" t="n">
        <v>47800000</v>
      </c>
      <c r="H140" s="8"/>
      <c r="I140" s="8" t="n">
        <v>0</v>
      </c>
      <c r="J140" s="9" t="str">
        <f aca="false">IF(F140="","",IFERROR(INDEX(設定!$A$8:$A$15,MATCH(F140,設定!$B$8:$B$15,1)),"対象外"))</f>
        <v/>
      </c>
      <c r="K140" s="9" t="str">
        <f aca="false">IF(F140="","未売却",IF(F140&lt;=設定!$B$3,"実績","予定"))</f>
        <v>未売却</v>
      </c>
      <c r="L140" s="9" t="n">
        <f aca="false">IF(F140="",0,IF(OR(設定!$B$4="全て",K140="実績"),1,0))</f>
        <v>0</v>
      </c>
      <c r="M140" s="10" t="str">
        <f aca="false">IF(OR(G140="",H140=""),"",G140-H140-I140)</f>
        <v/>
      </c>
      <c r="N140" s="11" t="str">
        <f aca="false">IF(M140="","",M140/G140)</f>
        <v/>
      </c>
      <c r="O140" s="10" t="str">
        <f aca="false">IF(OR(D140="",F140=""),"",F140-D140)</f>
        <v/>
      </c>
      <c r="P140" s="9" t="str">
        <f aca="false">IF(G140="","",IF(INT(G140/設定!$B$5)*設定!$B$5&gt;=100000000,TEXT(INT(G140/設定!$B$5)*設定!$B$5/100000000,"0.0")&amp;"億",TEXT(INT(G140/設定!$B$5)*設定!$B$5/10000,"#,##0")&amp;"万")&amp;"〜")</f>
        <v>0万〜</v>
      </c>
      <c r="Q140" s="5" t="n">
        <v>5</v>
      </c>
      <c r="R140" s="12" t="s">
        <v>22</v>
      </c>
    </row>
    <row r="141" customFormat="false" ht="15" hidden="false" customHeight="false" outlineLevel="0" collapsed="false">
      <c r="A141" s="5" t="n">
        <v>3</v>
      </c>
      <c r="B141" s="6" t="s">
        <v>50</v>
      </c>
      <c r="C141" s="6" t="s">
        <v>170</v>
      </c>
      <c r="D141" s="7" t="n">
        <v>44617</v>
      </c>
      <c r="E141" s="7"/>
      <c r="F141" s="7"/>
      <c r="G141" s="8" t="n">
        <v>19900000</v>
      </c>
      <c r="H141" s="8"/>
      <c r="I141" s="8" t="n">
        <v>0</v>
      </c>
      <c r="J141" s="9" t="str">
        <f aca="false">IF(F141="","",IFERROR(INDEX(設定!$A$8:$A$15,MATCH(F141,設定!$B$8:$B$15,1)),"対象外"))</f>
        <v/>
      </c>
      <c r="K141" s="9" t="str">
        <f aca="false">IF(F141="","未売却",IF(F141&lt;=設定!$B$3,"実績","予定"))</f>
        <v>未売却</v>
      </c>
      <c r="L141" s="9" t="n">
        <f aca="false">IF(F141="",0,IF(OR(設定!$B$4="全て",K141="実績"),1,0))</f>
        <v>0</v>
      </c>
      <c r="M141" s="10" t="str">
        <f aca="false">IF(OR(G141="",H141=""),"",G141-H141-I141)</f>
        <v/>
      </c>
      <c r="N141" s="11" t="str">
        <f aca="false">IF(M141="","",M141/G141)</f>
        <v/>
      </c>
      <c r="O141" s="10" t="str">
        <f aca="false">IF(OR(D141="",F141=""),"",F141-D141)</f>
        <v/>
      </c>
      <c r="P141" s="9" t="str">
        <f aca="false">IF(G141="","",IF(INT(G141/設定!$B$5)*設定!$B$5&gt;=100000000,TEXT(INT(G141/設定!$B$5)*設定!$B$5/100000000,"0.0")&amp;"億",TEXT(INT(G141/設定!$B$5)*設定!$B$5/10000,"#,##0")&amp;"万")&amp;"〜")</f>
        <v>0万〜</v>
      </c>
      <c r="Q141" s="5" t="n">
        <v>7</v>
      </c>
      <c r="R141" s="12" t="s">
        <v>22</v>
      </c>
    </row>
    <row r="142" customFormat="false" ht="15" hidden="false" customHeight="false" outlineLevel="0" collapsed="false">
      <c r="A142" s="5" t="n">
        <v>5</v>
      </c>
      <c r="B142" s="6" t="s">
        <v>23</v>
      </c>
      <c r="C142" s="6" t="s">
        <v>171</v>
      </c>
      <c r="D142" s="7" t="n">
        <v>44644</v>
      </c>
      <c r="E142" s="7"/>
      <c r="F142" s="7"/>
      <c r="G142" s="8" t="n">
        <v>58710000</v>
      </c>
      <c r="H142" s="8"/>
      <c r="I142" s="8" t="n">
        <v>18000000</v>
      </c>
      <c r="J142" s="9" t="str">
        <f aca="false">IF(F142="","",IFERROR(INDEX(設定!$A$8:$A$15,MATCH(F142,設定!$B$8:$B$15,1)),"対象外"))</f>
        <v/>
      </c>
      <c r="K142" s="9" t="str">
        <f aca="false">IF(F142="","未売却",IF(F142&lt;=設定!$B$3,"実績","予定"))</f>
        <v>未売却</v>
      </c>
      <c r="L142" s="9" t="n">
        <f aca="false">IF(F142="",0,IF(OR(設定!$B$4="全て",K142="実績"),1,0))</f>
        <v>0</v>
      </c>
      <c r="M142" s="10" t="str">
        <f aca="false">IF(OR(G142="",H142=""),"",G142-H142-I142)</f>
        <v/>
      </c>
      <c r="N142" s="11" t="str">
        <f aca="false">IF(M142="","",M142/G142)</f>
        <v/>
      </c>
      <c r="O142" s="10" t="str">
        <f aca="false">IF(OR(D142="",F142=""),"",F142-D142)</f>
        <v/>
      </c>
      <c r="P142" s="9" t="str">
        <f aca="false">IF(G142="","",IF(INT(G142/設定!$B$5)*設定!$B$5&gt;=100000000,TEXT(INT(G142/設定!$B$5)*設定!$B$5/100000000,"0.0")&amp;"億",TEXT(INT(G142/設定!$B$5)*設定!$B$5/10000,"#,##0")&amp;"万")&amp;"〜")</f>
        <v>5,000万〜</v>
      </c>
      <c r="Q142" s="5" t="n">
        <v>9</v>
      </c>
      <c r="R142" s="12" t="s">
        <v>22</v>
      </c>
    </row>
    <row r="143" customFormat="false" ht="15" hidden="false" customHeight="false" outlineLevel="0" collapsed="false">
      <c r="A143" s="5" t="n">
        <v>6</v>
      </c>
      <c r="B143" s="6" t="s">
        <v>42</v>
      </c>
      <c r="C143" s="6" t="s">
        <v>172</v>
      </c>
      <c r="D143" s="7" t="n">
        <v>44540</v>
      </c>
      <c r="E143" s="7"/>
      <c r="F143" s="7"/>
      <c r="G143" s="8" t="n">
        <v>72800000</v>
      </c>
      <c r="H143" s="8"/>
      <c r="I143" s="8" t="n">
        <v>0</v>
      </c>
      <c r="J143" s="9" t="str">
        <f aca="false">IF(F143="","",IFERROR(INDEX(設定!$A$8:$A$15,MATCH(F143,設定!$B$8:$B$15,1)),"対象外"))</f>
        <v/>
      </c>
      <c r="K143" s="9" t="str">
        <f aca="false">IF(F143="","未売却",IF(F143&lt;=設定!$B$3,"実績","予定"))</f>
        <v>未売却</v>
      </c>
      <c r="L143" s="9" t="n">
        <f aca="false">IF(F143="",0,IF(OR(設定!$B$4="全て",K143="実績"),1,0))</f>
        <v>0</v>
      </c>
      <c r="M143" s="10" t="str">
        <f aca="false">IF(OR(G143="",H143=""),"",G143-H143-I143)</f>
        <v/>
      </c>
      <c r="N143" s="11" t="str">
        <f aca="false">IF(M143="","",M143/G143)</f>
        <v/>
      </c>
      <c r="O143" s="10" t="str">
        <f aca="false">IF(OR(D143="",F143=""),"",F143-D143)</f>
        <v/>
      </c>
      <c r="P143" s="9" t="str">
        <f aca="false">IF(G143="","",IF(INT(G143/設定!$B$5)*設定!$B$5&gt;=100000000,TEXT(INT(G143/設定!$B$5)*設定!$B$5/100000000,"0.0")&amp;"億",TEXT(INT(G143/設定!$B$5)*設定!$B$5/10000,"#,##0")&amp;"万")&amp;"〜")</f>
        <v>5,000万〜</v>
      </c>
      <c r="Q143" s="5" t="n">
        <v>10</v>
      </c>
      <c r="R143" s="12" t="s">
        <v>22</v>
      </c>
    </row>
    <row r="144" customFormat="false" ht="15" hidden="false" customHeight="false" outlineLevel="0" collapsed="false">
      <c r="A144" s="5" t="n">
        <v>9</v>
      </c>
      <c r="B144" s="6" t="s">
        <v>23</v>
      </c>
      <c r="C144" s="6" t="s">
        <v>173</v>
      </c>
      <c r="D144" s="7" t="n">
        <v>44681</v>
      </c>
      <c r="E144" s="7"/>
      <c r="F144" s="7"/>
      <c r="G144" s="8" t="n">
        <v>42560000</v>
      </c>
      <c r="H144" s="8"/>
      <c r="I144" s="8" t="n">
        <v>13100000</v>
      </c>
      <c r="J144" s="9" t="str">
        <f aca="false">IF(F144="","",IFERROR(INDEX(設定!$A$8:$A$15,MATCH(F144,設定!$B$8:$B$15,1)),"対象外"))</f>
        <v/>
      </c>
      <c r="K144" s="9" t="str">
        <f aca="false">IF(F144="","未売却",IF(F144&lt;=設定!$B$3,"実績","予定"))</f>
        <v>未売却</v>
      </c>
      <c r="L144" s="9" t="n">
        <f aca="false">IF(F144="",0,IF(OR(設定!$B$4="全て",K144="実績"),1,0))</f>
        <v>0</v>
      </c>
      <c r="M144" s="10" t="str">
        <f aca="false">IF(OR(G144="",H144=""),"",G144-H144-I144)</f>
        <v/>
      </c>
      <c r="N144" s="11" t="str">
        <f aca="false">IF(M144="","",M144/G144)</f>
        <v/>
      </c>
      <c r="O144" s="10" t="str">
        <f aca="false">IF(OR(D144="",F144=""),"",F144-D144)</f>
        <v/>
      </c>
      <c r="P144" s="9" t="str">
        <f aca="false">IF(G144="","",IF(INT(G144/設定!$B$5)*設定!$B$5&gt;=100000000,TEXT(INT(G144/設定!$B$5)*設定!$B$5/100000000,"0.0")&amp;"億",TEXT(INT(G144/設定!$B$5)*設定!$B$5/10000,"#,##0")&amp;"万")&amp;"〜")</f>
        <v>0万〜</v>
      </c>
      <c r="Q144" s="5" t="n">
        <v>13</v>
      </c>
      <c r="R144" s="12" t="s">
        <v>22</v>
      </c>
    </row>
    <row r="145" customFormat="false" ht="15" hidden="false" customHeight="false" outlineLevel="0" collapsed="false">
      <c r="A145" s="5" t="n">
        <v>13</v>
      </c>
      <c r="B145" s="5" t="s">
        <v>20</v>
      </c>
      <c r="C145" s="6" t="s">
        <v>174</v>
      </c>
      <c r="D145" s="7" t="n">
        <v>44651</v>
      </c>
      <c r="E145" s="7"/>
      <c r="F145" s="7"/>
      <c r="G145" s="8"/>
      <c r="H145" s="8"/>
      <c r="I145" s="8" t="n">
        <v>0</v>
      </c>
      <c r="J145" s="9" t="str">
        <f aca="false">IF(F145="","",IFERROR(INDEX(設定!$A$8:$A$15,MATCH(F145,設定!$B$8:$B$15,1)),"対象外"))</f>
        <v/>
      </c>
      <c r="K145" s="9" t="str">
        <f aca="false">IF(F145="","未売却",IF(F145&lt;=設定!$B$3,"実績","予定"))</f>
        <v>未売却</v>
      </c>
      <c r="L145" s="9" t="n">
        <f aca="false">IF(F145="",0,IF(OR(設定!$B$4="全て",K145="実績"),1,0))</f>
        <v>0</v>
      </c>
      <c r="M145" s="10" t="str">
        <f aca="false">IF(OR(G145="",H145=""),"",G145-H145-I145)</f>
        <v/>
      </c>
      <c r="N145" s="11" t="str">
        <f aca="false">IF(M145="","",M145/G145)</f>
        <v/>
      </c>
      <c r="O145" s="10" t="str">
        <f aca="false">IF(OR(D145="",F145=""),"",F145-D145)</f>
        <v/>
      </c>
      <c r="P145" s="9" t="str">
        <f aca="false">IF(G145="","",IF(INT(G145/設定!$B$5)*設定!$B$5&gt;=100000000,TEXT(INT(G145/設定!$B$5)*設定!$B$5/100000000,"0.0")&amp;"億",TEXT(INT(G145/設定!$B$5)*設定!$B$5/10000,"#,##0")&amp;"万")&amp;"〜")</f>
        <v/>
      </c>
      <c r="Q145" s="5" t="n">
        <v>17</v>
      </c>
      <c r="R145" s="12" t="s">
        <v>22</v>
      </c>
    </row>
    <row r="146" customFormat="false" ht="15" hidden="false" customHeight="false" outlineLevel="0" collapsed="false">
      <c r="A146" s="5" t="n">
        <v>17</v>
      </c>
      <c r="B146" s="6" t="s">
        <v>23</v>
      </c>
      <c r="C146" s="6" t="s">
        <v>175</v>
      </c>
      <c r="D146" s="7" t="n">
        <v>44393</v>
      </c>
      <c r="E146" s="7"/>
      <c r="F146" s="7"/>
      <c r="G146" s="8"/>
      <c r="H146" s="8"/>
      <c r="I146" s="8" t="n">
        <v>0</v>
      </c>
      <c r="J146" s="9" t="str">
        <f aca="false">IF(F146="","",IFERROR(INDEX(設定!$A$8:$A$15,MATCH(F146,設定!$B$8:$B$15,1)),"対象外"))</f>
        <v/>
      </c>
      <c r="K146" s="9" t="str">
        <f aca="false">IF(F146="","未売却",IF(F146&lt;=設定!$B$3,"実績","予定"))</f>
        <v>未売却</v>
      </c>
      <c r="L146" s="9" t="n">
        <f aca="false">IF(F146="",0,IF(OR(設定!$B$4="全て",K146="実績"),1,0))</f>
        <v>0</v>
      </c>
      <c r="M146" s="10" t="str">
        <f aca="false">IF(OR(G146="",H146=""),"",G146-H146-I146)</f>
        <v/>
      </c>
      <c r="N146" s="11" t="str">
        <f aca="false">IF(M146="","",M146/G146)</f>
        <v/>
      </c>
      <c r="O146" s="10" t="str">
        <f aca="false">IF(OR(D146="",F146=""),"",F146-D146)</f>
        <v/>
      </c>
      <c r="P146" s="9" t="str">
        <f aca="false">IF(G146="","",IF(INT(G146/設定!$B$5)*設定!$B$5&gt;=100000000,TEXT(INT(G146/設定!$B$5)*設定!$B$5/100000000,"0.0")&amp;"億",TEXT(INT(G146/設定!$B$5)*設定!$B$5/10000,"#,##0")&amp;"万")&amp;"〜")</f>
        <v/>
      </c>
      <c r="Q146" s="5" t="n">
        <v>21</v>
      </c>
      <c r="R146" s="12" t="s">
        <v>22</v>
      </c>
    </row>
    <row r="147" customFormat="false" ht="15" hidden="false" customHeight="false" outlineLevel="0" collapsed="false">
      <c r="A147" s="5" t="n">
        <v>30</v>
      </c>
      <c r="B147" s="6" t="s">
        <v>26</v>
      </c>
      <c r="C147" s="6" t="s">
        <v>176</v>
      </c>
      <c r="D147" s="7" t="n">
        <v>44802</v>
      </c>
      <c r="E147" s="7"/>
      <c r="F147" s="7"/>
      <c r="G147" s="8" t="n">
        <v>24900000</v>
      </c>
      <c r="H147" s="8"/>
      <c r="I147" s="8" t="n">
        <v>0</v>
      </c>
      <c r="J147" s="9" t="str">
        <f aca="false">IF(F147="","",IFERROR(INDEX(設定!$A$8:$A$15,MATCH(F147,設定!$B$8:$B$15,1)),"対象外"))</f>
        <v/>
      </c>
      <c r="K147" s="9" t="str">
        <f aca="false">IF(F147="","未売却",IF(F147&lt;=設定!$B$3,"実績","予定"))</f>
        <v>未売却</v>
      </c>
      <c r="L147" s="9" t="n">
        <f aca="false">IF(F147="",0,IF(OR(設定!$B$4="全て",K147="実績"),1,0))</f>
        <v>0</v>
      </c>
      <c r="M147" s="10" t="str">
        <f aca="false">IF(OR(G147="",H147=""),"",G147-H147-I147)</f>
        <v/>
      </c>
      <c r="N147" s="11" t="str">
        <f aca="false">IF(M147="","",M147/G147)</f>
        <v/>
      </c>
      <c r="O147" s="10" t="str">
        <f aca="false">IF(OR(D147="",F147=""),"",F147-D147)</f>
        <v/>
      </c>
      <c r="P147" s="9" t="str">
        <f aca="false">IF(G147="","",IF(INT(G147/設定!$B$5)*設定!$B$5&gt;=100000000,TEXT(INT(G147/設定!$B$5)*設定!$B$5/100000000,"0.0")&amp;"億",TEXT(INT(G147/設定!$B$5)*設定!$B$5/10000,"#,##0")&amp;"万")&amp;"〜")</f>
        <v>0万〜</v>
      </c>
      <c r="Q147" s="5" t="n">
        <v>34</v>
      </c>
      <c r="R147" s="12" t="s">
        <v>22</v>
      </c>
    </row>
    <row r="148" customFormat="false" ht="15" hidden="false" customHeight="false" outlineLevel="0" collapsed="false">
      <c r="A148" s="5" t="n">
        <v>40</v>
      </c>
      <c r="B148" s="6" t="s">
        <v>42</v>
      </c>
      <c r="C148" s="6" t="s">
        <v>177</v>
      </c>
      <c r="D148" s="7" t="n">
        <v>44893</v>
      </c>
      <c r="E148" s="7"/>
      <c r="F148" s="7"/>
      <c r="G148" s="8" t="n">
        <v>71800000</v>
      </c>
      <c r="H148" s="8" t="n">
        <v>57817500</v>
      </c>
      <c r="I148" s="8" t="n">
        <v>1750000</v>
      </c>
      <c r="J148" s="9" t="str">
        <f aca="false">IF(F148="","",IFERROR(INDEX(設定!$A$8:$A$15,MATCH(F148,設定!$B$8:$B$15,1)),"対象外"))</f>
        <v/>
      </c>
      <c r="K148" s="9" t="str">
        <f aca="false">IF(F148="","未売却",IF(F148&lt;=設定!$B$3,"実績","予定"))</f>
        <v>未売却</v>
      </c>
      <c r="L148" s="9" t="n">
        <f aca="false">IF(F148="",0,IF(OR(設定!$B$4="全て",K148="実績"),1,0))</f>
        <v>0</v>
      </c>
      <c r="M148" s="10" t="n">
        <f aca="false">IF(OR(G148="",H148=""),"",G148-H148-I148)</f>
        <v>12232500</v>
      </c>
      <c r="N148" s="11" t="n">
        <f aca="false">IF(M148="","",M148/G148)</f>
        <v>0.170369080779944</v>
      </c>
      <c r="O148" s="10" t="str">
        <f aca="false">IF(OR(D148="",F148=""),"",F148-D148)</f>
        <v/>
      </c>
      <c r="P148" s="9" t="str">
        <f aca="false">IF(G148="","",IF(INT(G148/設定!$B$5)*設定!$B$5&gt;=100000000,TEXT(INT(G148/設定!$B$5)*設定!$B$5/100000000,"0.0")&amp;"億",TEXT(INT(G148/設定!$B$5)*設定!$B$5/10000,"#,##0")&amp;"万")&amp;"〜")</f>
        <v>5,000万〜</v>
      </c>
      <c r="Q148" s="5" t="n">
        <v>44</v>
      </c>
      <c r="R148" s="12"/>
    </row>
    <row r="149" customFormat="false" ht="15" hidden="false" customHeight="false" outlineLevel="0" collapsed="false">
      <c r="A149" s="5" t="n">
        <v>41</v>
      </c>
      <c r="B149" s="6" t="s">
        <v>42</v>
      </c>
      <c r="C149" s="6" t="s">
        <v>178</v>
      </c>
      <c r="D149" s="7" t="n">
        <v>44893</v>
      </c>
      <c r="E149" s="7"/>
      <c r="F149" s="7"/>
      <c r="G149" s="8" t="n">
        <v>71800000</v>
      </c>
      <c r="H149" s="8" t="n">
        <v>57817500</v>
      </c>
      <c r="I149" s="8" t="n">
        <v>1750000</v>
      </c>
      <c r="J149" s="9" t="str">
        <f aca="false">IF(F149="","",IFERROR(INDEX(設定!$A$8:$A$15,MATCH(F149,設定!$B$8:$B$15,1)),"対象外"))</f>
        <v/>
      </c>
      <c r="K149" s="9" t="str">
        <f aca="false">IF(F149="","未売却",IF(F149&lt;=設定!$B$3,"実績","予定"))</f>
        <v>未売却</v>
      </c>
      <c r="L149" s="9" t="n">
        <f aca="false">IF(F149="",0,IF(OR(設定!$B$4="全て",K149="実績"),1,0))</f>
        <v>0</v>
      </c>
      <c r="M149" s="10" t="n">
        <f aca="false">IF(OR(G149="",H149=""),"",G149-H149-I149)</f>
        <v>12232500</v>
      </c>
      <c r="N149" s="11" t="n">
        <f aca="false">IF(M149="","",M149/G149)</f>
        <v>0.170369080779944</v>
      </c>
      <c r="O149" s="10" t="str">
        <f aca="false">IF(OR(D149="",F149=""),"",F149-D149)</f>
        <v/>
      </c>
      <c r="P149" s="9" t="str">
        <f aca="false">IF(G149="","",IF(INT(G149/設定!$B$5)*設定!$B$5&gt;=100000000,TEXT(INT(G149/設定!$B$5)*設定!$B$5/100000000,"0.0")&amp;"億",TEXT(INT(G149/設定!$B$5)*設定!$B$5/10000,"#,##0")&amp;"万")&amp;"〜")</f>
        <v>5,000万〜</v>
      </c>
      <c r="Q149" s="5" t="n">
        <v>45</v>
      </c>
      <c r="R149" s="12"/>
    </row>
    <row r="150" customFormat="false" ht="15" hidden="false" customHeight="false" outlineLevel="0" collapsed="false">
      <c r="A150" s="5" t="n">
        <v>45</v>
      </c>
      <c r="B150" s="6" t="s">
        <v>42</v>
      </c>
      <c r="C150" s="6" t="s">
        <v>179</v>
      </c>
      <c r="D150" s="7"/>
      <c r="E150" s="7"/>
      <c r="F150" s="7"/>
      <c r="G150" s="8"/>
      <c r="H150" s="8"/>
      <c r="I150" s="8" t="n">
        <v>0</v>
      </c>
      <c r="J150" s="9" t="str">
        <f aca="false">IF(F150="","",IFERROR(INDEX(設定!$A$8:$A$15,MATCH(F150,設定!$B$8:$B$15,1)),"対象外"))</f>
        <v/>
      </c>
      <c r="K150" s="9" t="str">
        <f aca="false">IF(F150="","未売却",IF(F150&lt;=設定!$B$3,"実績","予定"))</f>
        <v>未売却</v>
      </c>
      <c r="L150" s="9" t="n">
        <f aca="false">IF(F150="",0,IF(OR(設定!$B$4="全て",K150="実績"),1,0))</f>
        <v>0</v>
      </c>
      <c r="M150" s="10" t="str">
        <f aca="false">IF(OR(G150="",H150=""),"",G150-H150-I150)</f>
        <v/>
      </c>
      <c r="N150" s="11" t="str">
        <f aca="false">IF(M150="","",M150/G150)</f>
        <v/>
      </c>
      <c r="O150" s="10" t="str">
        <f aca="false">IF(OR(D150="",F150=""),"",F150-D150)</f>
        <v/>
      </c>
      <c r="P150" s="9" t="str">
        <f aca="false">IF(G150="","",IF(INT(G150/設定!$B$5)*設定!$B$5&gt;=100000000,TEXT(INT(G150/設定!$B$5)*設定!$B$5/100000000,"0.0")&amp;"億",TEXT(INT(G150/設定!$B$5)*設定!$B$5/10000,"#,##0")&amp;"万")&amp;"〜")</f>
        <v/>
      </c>
      <c r="Q150" s="5" t="n">
        <v>49</v>
      </c>
      <c r="R150" s="12" t="s">
        <v>22</v>
      </c>
    </row>
    <row r="151" customFormat="false" ht="15" hidden="false" customHeight="false" outlineLevel="0" collapsed="false">
      <c r="A151" s="5" t="n">
        <v>50</v>
      </c>
      <c r="B151" s="6" t="s">
        <v>26</v>
      </c>
      <c r="C151" s="6" t="s">
        <v>180</v>
      </c>
      <c r="D151" s="7" t="n">
        <v>44956</v>
      </c>
      <c r="E151" s="7"/>
      <c r="F151" s="7"/>
      <c r="G151" s="8" t="n">
        <v>89900000</v>
      </c>
      <c r="H151" s="8" t="n">
        <v>65150000</v>
      </c>
      <c r="I151" s="8" t="n">
        <v>9000000</v>
      </c>
      <c r="J151" s="9" t="str">
        <f aca="false">IF(F151="","",IFERROR(INDEX(設定!$A$8:$A$15,MATCH(F151,設定!$B$8:$B$15,1)),"対象外"))</f>
        <v/>
      </c>
      <c r="K151" s="9" t="str">
        <f aca="false">IF(F151="","未売却",IF(F151&lt;=設定!$B$3,"実績","予定"))</f>
        <v>未売却</v>
      </c>
      <c r="L151" s="9" t="n">
        <f aca="false">IF(F151="",0,IF(OR(設定!$B$4="全て",K151="実績"),1,0))</f>
        <v>0</v>
      </c>
      <c r="M151" s="10" t="n">
        <f aca="false">IF(OR(G151="",H151=""),"",G151-H151-I151)</f>
        <v>15750000</v>
      </c>
      <c r="N151" s="11" t="n">
        <f aca="false">IF(M151="","",M151/G151)</f>
        <v>0.175194660734149</v>
      </c>
      <c r="O151" s="10" t="str">
        <f aca="false">IF(OR(D151="",F151=""),"",F151-D151)</f>
        <v/>
      </c>
      <c r="P151" s="9" t="str">
        <f aca="false">IF(G151="","",IF(INT(G151/設定!$B$5)*設定!$B$5&gt;=100000000,TEXT(INT(G151/設定!$B$5)*設定!$B$5/100000000,"0.0")&amp;"億",TEXT(INT(G151/設定!$B$5)*設定!$B$5/10000,"#,##0")&amp;"万")&amp;"〜")</f>
        <v>5,000万〜</v>
      </c>
      <c r="Q151" s="5" t="n">
        <v>54</v>
      </c>
      <c r="R151" s="12"/>
    </row>
    <row r="152" customFormat="false" ht="15" hidden="false" customHeight="false" outlineLevel="0" collapsed="false">
      <c r="A152" s="5" t="n">
        <v>51</v>
      </c>
      <c r="B152" s="5" t="s">
        <v>20</v>
      </c>
      <c r="C152" s="6" t="s">
        <v>181</v>
      </c>
      <c r="D152" s="7" t="n">
        <v>44956</v>
      </c>
      <c r="E152" s="7"/>
      <c r="F152" s="7"/>
      <c r="G152" s="8" t="n">
        <v>44900000</v>
      </c>
      <c r="H152" s="8" t="n">
        <v>33700000</v>
      </c>
      <c r="I152" s="8" t="n">
        <v>5570000</v>
      </c>
      <c r="J152" s="9" t="str">
        <f aca="false">IF(F152="","",IFERROR(INDEX(設定!$A$8:$A$15,MATCH(F152,設定!$B$8:$B$15,1)),"対象外"))</f>
        <v/>
      </c>
      <c r="K152" s="9" t="str">
        <f aca="false">IF(F152="","未売却",IF(F152&lt;=設定!$B$3,"実績","予定"))</f>
        <v>未売却</v>
      </c>
      <c r="L152" s="9" t="n">
        <f aca="false">IF(F152="",0,IF(OR(設定!$B$4="全て",K152="実績"),1,0))</f>
        <v>0</v>
      </c>
      <c r="M152" s="10" t="n">
        <f aca="false">IF(OR(G152="",H152=""),"",G152-H152-I152)</f>
        <v>5630000</v>
      </c>
      <c r="N152" s="11" t="n">
        <f aca="false">IF(M152="","",M152/G152)</f>
        <v>0.125389755011136</v>
      </c>
      <c r="O152" s="10" t="str">
        <f aca="false">IF(OR(D152="",F152=""),"",F152-D152)</f>
        <v/>
      </c>
      <c r="P152" s="9" t="str">
        <f aca="false">IF(G152="","",IF(INT(G152/設定!$B$5)*設定!$B$5&gt;=100000000,TEXT(INT(G152/設定!$B$5)*設定!$B$5/100000000,"0.0")&amp;"億",TEXT(INT(G152/設定!$B$5)*設定!$B$5/10000,"#,##0")&amp;"万")&amp;"〜")</f>
        <v>0万〜</v>
      </c>
      <c r="Q152" s="5" t="n">
        <v>55</v>
      </c>
      <c r="R152" s="12"/>
    </row>
    <row r="153" customFormat="false" ht="15" hidden="false" customHeight="false" outlineLevel="0" collapsed="false">
      <c r="A153" s="5" t="n">
        <v>60</v>
      </c>
      <c r="B153" s="6" t="s">
        <v>182</v>
      </c>
      <c r="C153" s="6" t="s">
        <v>183</v>
      </c>
      <c r="D153" s="7"/>
      <c r="E153" s="7"/>
      <c r="F153" s="7"/>
      <c r="G153" s="8"/>
      <c r="H153" s="8"/>
      <c r="I153" s="8" t="n">
        <v>40439668</v>
      </c>
      <c r="J153" s="9" t="str">
        <f aca="false">IF(F153="","",IFERROR(INDEX(設定!$A$8:$A$15,MATCH(F153,設定!$B$8:$B$15,1)),"対象外"))</f>
        <v/>
      </c>
      <c r="K153" s="9" t="str">
        <f aca="false">IF(F153="","未売却",IF(F153&lt;=設定!$B$3,"実績","予定"))</f>
        <v>未売却</v>
      </c>
      <c r="L153" s="9" t="n">
        <f aca="false">IF(F153="",0,IF(OR(設定!$B$4="全て",K153="実績"),1,0))</f>
        <v>0</v>
      </c>
      <c r="M153" s="10" t="str">
        <f aca="false">IF(OR(G153="",H153=""),"",G153-H153-I153)</f>
        <v/>
      </c>
      <c r="N153" s="11" t="str">
        <f aca="false">IF(M153="","",M153/G153)</f>
        <v/>
      </c>
      <c r="O153" s="10" t="str">
        <f aca="false">IF(OR(D153="",F153=""),"",F153-D153)</f>
        <v/>
      </c>
      <c r="P153" s="9" t="str">
        <f aca="false">IF(G153="","",IF(INT(G153/設定!$B$5)*設定!$B$5&gt;=100000000,TEXT(INT(G153/設定!$B$5)*設定!$B$5/100000000,"0.0")&amp;"億",TEXT(INT(G153/設定!$B$5)*設定!$B$5/10000,"#,##0")&amp;"万")&amp;"〜")</f>
        <v/>
      </c>
      <c r="Q153" s="5" t="n">
        <v>64</v>
      </c>
      <c r="R153" s="12" t="s">
        <v>184</v>
      </c>
    </row>
    <row r="154" customFormat="false" ht="15" hidden="false" customHeight="false" outlineLevel="0" collapsed="false">
      <c r="A154" s="5" t="n">
        <v>61</v>
      </c>
      <c r="B154" s="6" t="s">
        <v>26</v>
      </c>
      <c r="C154" s="6" t="s">
        <v>185</v>
      </c>
      <c r="D154" s="7" t="n">
        <v>45078</v>
      </c>
      <c r="E154" s="7"/>
      <c r="F154" s="7"/>
      <c r="G154" s="8" t="n">
        <v>56800000</v>
      </c>
      <c r="H154" s="8" t="n">
        <v>41800000</v>
      </c>
      <c r="I154" s="8" t="n">
        <v>10300000</v>
      </c>
      <c r="J154" s="9" t="str">
        <f aca="false">IF(F154="","",IFERROR(INDEX(設定!$A$8:$A$15,MATCH(F154,設定!$B$8:$B$15,1)),"対象外"))</f>
        <v/>
      </c>
      <c r="K154" s="9" t="str">
        <f aca="false">IF(F154="","未売却",IF(F154&lt;=設定!$B$3,"実績","予定"))</f>
        <v>未売却</v>
      </c>
      <c r="L154" s="9" t="n">
        <f aca="false">IF(F154="",0,IF(OR(設定!$B$4="全て",K154="実績"),1,0))</f>
        <v>0</v>
      </c>
      <c r="M154" s="10" t="n">
        <f aca="false">IF(OR(G154="",H154=""),"",G154-H154-I154)</f>
        <v>4700000</v>
      </c>
      <c r="N154" s="11" t="n">
        <f aca="false">IF(M154="","",M154/G154)</f>
        <v>0.0827464788732394</v>
      </c>
      <c r="O154" s="10" t="str">
        <f aca="false">IF(OR(D154="",F154=""),"",F154-D154)</f>
        <v/>
      </c>
      <c r="P154" s="9" t="str">
        <f aca="false">IF(G154="","",IF(INT(G154/設定!$B$5)*設定!$B$5&gt;=100000000,TEXT(INT(G154/設定!$B$5)*設定!$B$5/100000000,"0.0")&amp;"億",TEXT(INT(G154/設定!$B$5)*設定!$B$5/10000,"#,##0")&amp;"万")&amp;"〜")</f>
        <v>5,000万〜</v>
      </c>
      <c r="Q154" s="5" t="n">
        <v>65</v>
      </c>
      <c r="R154" s="12"/>
    </row>
    <row r="155" customFormat="false" ht="15" hidden="false" customHeight="false" outlineLevel="0" collapsed="false">
      <c r="A155" s="5" t="n">
        <v>96</v>
      </c>
      <c r="B155" s="5" t="s">
        <v>20</v>
      </c>
      <c r="C155" s="6" t="s">
        <v>186</v>
      </c>
      <c r="D155" s="7" t="n">
        <v>45401</v>
      </c>
      <c r="E155" s="7"/>
      <c r="F155" s="7"/>
      <c r="G155" s="8" t="n">
        <v>46800000</v>
      </c>
      <c r="H155" s="8" t="n">
        <v>40100000</v>
      </c>
      <c r="I155" s="8" t="n">
        <v>7000000</v>
      </c>
      <c r="J155" s="9" t="str">
        <f aca="false">IF(F155="","",IFERROR(INDEX(設定!$A$8:$A$15,MATCH(F155,設定!$B$8:$B$15,1)),"対象外"))</f>
        <v/>
      </c>
      <c r="K155" s="9" t="str">
        <f aca="false">IF(F155="","未売却",IF(F155&lt;=設定!$B$3,"実績","予定"))</f>
        <v>未売却</v>
      </c>
      <c r="L155" s="9" t="n">
        <f aca="false">IF(F155="",0,IF(OR(設定!$B$4="全て",K155="実績"),1,0))</f>
        <v>0</v>
      </c>
      <c r="M155" s="10" t="n">
        <f aca="false">IF(OR(G155="",H155=""),"",G155-H155-I155)</f>
        <v>-300000</v>
      </c>
      <c r="N155" s="11" t="n">
        <f aca="false">IF(M155="","",M155/G155)</f>
        <v>-0.00641025641025641</v>
      </c>
      <c r="O155" s="10" t="str">
        <f aca="false">IF(OR(D155="",F155=""),"",F155-D155)</f>
        <v/>
      </c>
      <c r="P155" s="9" t="str">
        <f aca="false">IF(G155="","",IF(INT(G155/設定!$B$5)*設定!$B$5&gt;=100000000,TEXT(INT(G155/設定!$B$5)*設定!$B$5/100000000,"0.0")&amp;"億",TEXT(INT(G155/設定!$B$5)*設定!$B$5/10000,"#,##0")&amp;"万")&amp;"〜")</f>
        <v>0万〜</v>
      </c>
      <c r="Q155" s="5" t="n">
        <v>100</v>
      </c>
      <c r="R155" s="12" t="s">
        <v>64</v>
      </c>
    </row>
    <row r="156" customFormat="false" ht="15" hidden="false" customHeight="false" outlineLevel="0" collapsed="false">
      <c r="A156" s="5" t="n">
        <v>98</v>
      </c>
      <c r="B156" s="6" t="s">
        <v>26</v>
      </c>
      <c r="C156" s="6" t="s">
        <v>187</v>
      </c>
      <c r="D156" s="7" t="n">
        <v>45442</v>
      </c>
      <c r="E156" s="7"/>
      <c r="F156" s="7"/>
      <c r="G156" s="8" t="n">
        <v>36000000</v>
      </c>
      <c r="H156" s="8" t="n">
        <v>36000000</v>
      </c>
      <c r="I156" s="8" t="n">
        <v>0</v>
      </c>
      <c r="J156" s="9" t="str">
        <f aca="false">IF(F156="","",IFERROR(INDEX(設定!$A$8:$A$15,MATCH(F156,設定!$B$8:$B$15,1)),"対象外"))</f>
        <v/>
      </c>
      <c r="K156" s="9" t="str">
        <f aca="false">IF(F156="","未売却",IF(F156&lt;=設定!$B$3,"実績","予定"))</f>
        <v>未売却</v>
      </c>
      <c r="L156" s="9" t="n">
        <f aca="false">IF(F156="",0,IF(OR(設定!$B$4="全て",K156="実績"),1,0))</f>
        <v>0</v>
      </c>
      <c r="M156" s="10" t="n">
        <f aca="false">IF(OR(G156="",H156=""),"",G156-H156-I156)</f>
        <v>0</v>
      </c>
      <c r="N156" s="11" t="n">
        <f aca="false">IF(M156="","",M156/G156)</f>
        <v>0</v>
      </c>
      <c r="O156" s="10" t="str">
        <f aca="false">IF(OR(D156="",F156=""),"",F156-D156)</f>
        <v/>
      </c>
      <c r="P156" s="9" t="str">
        <f aca="false">IF(G156="","",IF(INT(G156/設定!$B$5)*設定!$B$5&gt;=100000000,TEXT(INT(G156/設定!$B$5)*設定!$B$5/100000000,"0.0")&amp;"億",TEXT(INT(G156/設定!$B$5)*設定!$B$5/10000,"#,##0")&amp;"万")&amp;"〜")</f>
        <v>0万〜</v>
      </c>
      <c r="Q156" s="5" t="n">
        <v>102</v>
      </c>
      <c r="R156" s="12"/>
    </row>
    <row r="157" customFormat="false" ht="15" hidden="false" customHeight="false" outlineLevel="0" collapsed="false">
      <c r="A157" s="5" t="n">
        <v>130</v>
      </c>
      <c r="B157" s="5" t="s">
        <v>122</v>
      </c>
      <c r="C157" s="6" t="s">
        <v>188</v>
      </c>
      <c r="D157" s="7" t="n">
        <v>45835</v>
      </c>
      <c r="E157" s="7"/>
      <c r="F157" s="7"/>
      <c r="G157" s="8" t="n">
        <v>368000000</v>
      </c>
      <c r="H157" s="8" t="n">
        <v>186000000</v>
      </c>
      <c r="I157" s="8" t="n">
        <v>106070804</v>
      </c>
      <c r="J157" s="9" t="str">
        <f aca="false">IF(F157="","",IFERROR(INDEX(設定!$A$8:$A$15,MATCH(F157,設定!$B$8:$B$15,1)),"対象外"))</f>
        <v/>
      </c>
      <c r="K157" s="9" t="str">
        <f aca="false">IF(F157="","未売却",IF(F157&lt;=設定!$B$3,"実績","予定"))</f>
        <v>未売却</v>
      </c>
      <c r="L157" s="9" t="n">
        <f aca="false">IF(F157="",0,IF(OR(設定!$B$4="全て",K157="実績"),1,0))</f>
        <v>0</v>
      </c>
      <c r="M157" s="10" t="n">
        <f aca="false">IF(OR(G157="",H157=""),"",G157-H157-I157)</f>
        <v>75929196</v>
      </c>
      <c r="N157" s="11" t="n">
        <f aca="false">IF(M157="","",M157/G157)</f>
        <v>0.206329336956522</v>
      </c>
      <c r="O157" s="10" t="str">
        <f aca="false">IF(OR(D157="",F157=""),"",F157-D157)</f>
        <v/>
      </c>
      <c r="P157" s="9" t="str">
        <f aca="false">IF(G157="","",IF(INT(G157/設定!$B$5)*設定!$B$5&gt;=100000000,TEXT(INT(G157/設定!$B$5)*設定!$B$5/100000000,"0.0")&amp;"億",TEXT(INT(G157/設定!$B$5)*設定!$B$5/10000,"#,##0")&amp;"万")&amp;"〜")</f>
        <v>3.5億〜</v>
      </c>
      <c r="Q157" s="5" t="n">
        <v>134</v>
      </c>
      <c r="R157" s="12"/>
    </row>
    <row r="158" customFormat="false" ht="15" hidden="false" customHeight="false" outlineLevel="0" collapsed="false">
      <c r="A158" s="5" t="n">
        <v>131</v>
      </c>
      <c r="B158" s="6" t="s">
        <v>23</v>
      </c>
      <c r="C158" s="6" t="s">
        <v>189</v>
      </c>
      <c r="D158" s="7" t="n">
        <v>45868</v>
      </c>
      <c r="E158" s="7"/>
      <c r="F158" s="7"/>
      <c r="G158" s="8" t="n">
        <v>158000000</v>
      </c>
      <c r="H158" s="8" t="n">
        <v>99500000</v>
      </c>
      <c r="I158" s="8" t="n">
        <v>39020000</v>
      </c>
      <c r="J158" s="9" t="str">
        <f aca="false">IF(F158="","",IFERROR(INDEX(設定!$A$8:$A$15,MATCH(F158,設定!$B$8:$B$15,1)),"対象外"))</f>
        <v/>
      </c>
      <c r="K158" s="9" t="str">
        <f aca="false">IF(F158="","未売却",IF(F158&lt;=設定!$B$3,"実績","予定"))</f>
        <v>未売却</v>
      </c>
      <c r="L158" s="9" t="n">
        <f aca="false">IF(F158="",0,IF(OR(設定!$B$4="全て",K158="実績"),1,0))</f>
        <v>0</v>
      </c>
      <c r="M158" s="10" t="n">
        <f aca="false">IF(OR(G158="",H158=""),"",G158-H158-I158)</f>
        <v>19480000</v>
      </c>
      <c r="N158" s="11" t="n">
        <f aca="false">IF(M158="","",M158/G158)</f>
        <v>0.123291139240506</v>
      </c>
      <c r="O158" s="10" t="str">
        <f aca="false">IF(OR(D158="",F158=""),"",F158-D158)</f>
        <v/>
      </c>
      <c r="P158" s="9" t="str">
        <f aca="false">IF(G158="","",IF(INT(G158/設定!$B$5)*設定!$B$5&gt;=100000000,TEXT(INT(G158/設定!$B$5)*設定!$B$5/100000000,"0.0")&amp;"億",TEXT(INT(G158/設定!$B$5)*設定!$B$5/10000,"#,##0")&amp;"万")&amp;"〜")</f>
        <v>1.5億〜</v>
      </c>
      <c r="Q158" s="5" t="n">
        <v>135</v>
      </c>
      <c r="R158" s="12"/>
    </row>
    <row r="159" customFormat="false" ht="15" hidden="false" customHeight="false" outlineLevel="0" collapsed="false">
      <c r="A159" s="5" t="n">
        <v>132</v>
      </c>
      <c r="B159" s="6" t="s">
        <v>23</v>
      </c>
      <c r="C159" s="6" t="s">
        <v>190</v>
      </c>
      <c r="D159" s="7" t="n">
        <v>46173</v>
      </c>
      <c r="E159" s="7"/>
      <c r="F159" s="7"/>
      <c r="G159" s="8" t="n">
        <v>51800000</v>
      </c>
      <c r="H159" s="8" t="n">
        <v>23000000</v>
      </c>
      <c r="I159" s="8" t="n">
        <v>21600000</v>
      </c>
      <c r="J159" s="9" t="str">
        <f aca="false">IF(F159="","",IFERROR(INDEX(設定!$A$8:$A$15,MATCH(F159,設定!$B$8:$B$15,1)),"対象外"))</f>
        <v/>
      </c>
      <c r="K159" s="9" t="str">
        <f aca="false">IF(F159="","未売却",IF(F159&lt;=設定!$B$3,"実績","予定"))</f>
        <v>未売却</v>
      </c>
      <c r="L159" s="9" t="n">
        <f aca="false">IF(F159="",0,IF(OR(設定!$B$4="全て",K159="実績"),1,0))</f>
        <v>0</v>
      </c>
      <c r="M159" s="10" t="n">
        <f aca="false">IF(OR(G159="",H159=""),"",G159-H159-I159)</f>
        <v>7200000</v>
      </c>
      <c r="N159" s="11" t="n">
        <f aca="false">IF(M159="","",M159/G159)</f>
        <v>0.138996138996139</v>
      </c>
      <c r="O159" s="10" t="str">
        <f aca="false">IF(OR(D159="",F159=""),"",F159-D159)</f>
        <v/>
      </c>
      <c r="P159" s="9" t="str">
        <f aca="false">IF(G159="","",IF(INT(G159/設定!$B$5)*設定!$B$5&gt;=100000000,TEXT(INT(G159/設定!$B$5)*設定!$B$5/100000000,"0.0")&amp;"億",TEXT(INT(G159/設定!$B$5)*設定!$B$5/10000,"#,##0")&amp;"万")&amp;"〜")</f>
        <v>5,000万〜</v>
      </c>
      <c r="Q159" s="5" t="n">
        <v>136</v>
      </c>
      <c r="R159" s="12"/>
    </row>
    <row r="160" customFormat="false" ht="15" hidden="false" customHeight="false" outlineLevel="0" collapsed="false">
      <c r="A160" s="5" t="n">
        <v>133</v>
      </c>
      <c r="B160" s="6" t="s">
        <v>23</v>
      </c>
      <c r="C160" s="6" t="s">
        <v>191</v>
      </c>
      <c r="D160" s="7" t="n">
        <v>45930</v>
      </c>
      <c r="E160" s="7"/>
      <c r="F160" s="7"/>
      <c r="G160" s="8" t="n">
        <v>368000000</v>
      </c>
      <c r="H160" s="8" t="n">
        <v>219000000</v>
      </c>
      <c r="I160" s="8" t="n">
        <v>84000000</v>
      </c>
      <c r="J160" s="9" t="str">
        <f aca="false">IF(F160="","",IFERROR(INDEX(設定!$A$8:$A$15,MATCH(F160,設定!$B$8:$B$15,1)),"対象外"))</f>
        <v/>
      </c>
      <c r="K160" s="9" t="str">
        <f aca="false">IF(F160="","未売却",IF(F160&lt;=設定!$B$3,"実績","予定"))</f>
        <v>未売却</v>
      </c>
      <c r="L160" s="9" t="n">
        <f aca="false">IF(F160="",0,IF(OR(設定!$B$4="全て",K160="実績"),1,0))</f>
        <v>0</v>
      </c>
      <c r="M160" s="10" t="n">
        <f aca="false">IF(OR(G160="",H160=""),"",G160-H160-I160)</f>
        <v>65000000</v>
      </c>
      <c r="N160" s="11" t="n">
        <f aca="false">IF(M160="","",M160/G160)</f>
        <v>0.176630434782609</v>
      </c>
      <c r="O160" s="10" t="str">
        <f aca="false">IF(OR(D160="",F160=""),"",F160-D160)</f>
        <v/>
      </c>
      <c r="P160" s="9" t="str">
        <f aca="false">IF(G160="","",IF(INT(G160/設定!$B$5)*設定!$B$5&gt;=100000000,TEXT(INT(G160/設定!$B$5)*設定!$B$5/100000000,"0.0")&amp;"億",TEXT(INT(G160/設定!$B$5)*設定!$B$5/10000,"#,##0")&amp;"万")&amp;"〜")</f>
        <v>3.5億〜</v>
      </c>
      <c r="Q160" s="5" t="n">
        <v>137</v>
      </c>
      <c r="R160" s="12"/>
    </row>
    <row r="161" customFormat="false" ht="15" hidden="false" customHeight="false" outlineLevel="0" collapsed="false">
      <c r="A161" s="5" t="n">
        <v>135</v>
      </c>
      <c r="B161" s="6" t="s">
        <v>42</v>
      </c>
      <c r="C161" s="6" t="s">
        <v>192</v>
      </c>
      <c r="D161" s="7" t="n">
        <v>46010</v>
      </c>
      <c r="E161" s="7"/>
      <c r="F161" s="7"/>
      <c r="G161" s="8" t="n">
        <v>178000000</v>
      </c>
      <c r="H161" s="8" t="n">
        <v>140000000</v>
      </c>
      <c r="I161" s="8" t="n">
        <v>4200000</v>
      </c>
      <c r="J161" s="9" t="str">
        <f aca="false">IF(F161="","",IFERROR(INDEX(設定!$A$8:$A$15,MATCH(F161,設定!$B$8:$B$15,1)),"対象外"))</f>
        <v/>
      </c>
      <c r="K161" s="9" t="str">
        <f aca="false">IF(F161="","未売却",IF(F161&lt;=設定!$B$3,"実績","予定"))</f>
        <v>未売却</v>
      </c>
      <c r="L161" s="9" t="n">
        <f aca="false">IF(F161="",0,IF(OR(設定!$B$4="全て",K161="実績"),1,0))</f>
        <v>0</v>
      </c>
      <c r="M161" s="10" t="n">
        <f aca="false">IF(OR(G161="",H161=""),"",G161-H161-I161)</f>
        <v>33800000</v>
      </c>
      <c r="N161" s="11" t="n">
        <f aca="false">IF(M161="","",M161/G161)</f>
        <v>0.189887640449438</v>
      </c>
      <c r="O161" s="10" t="str">
        <f aca="false">IF(OR(D161="",F161=""),"",F161-D161)</f>
        <v/>
      </c>
      <c r="P161" s="9" t="str">
        <f aca="false">IF(G161="","",IF(INT(G161/設定!$B$5)*設定!$B$5&gt;=100000000,TEXT(INT(G161/設定!$B$5)*設定!$B$5/100000000,"0.0")&amp;"億",TEXT(INT(G161/設定!$B$5)*設定!$B$5/10000,"#,##0")&amp;"万")&amp;"〜")</f>
        <v>1.5億〜</v>
      </c>
      <c r="Q161" s="5" t="n">
        <v>139</v>
      </c>
      <c r="R161" s="12"/>
    </row>
    <row r="162" customFormat="false" ht="15" hidden="false" customHeight="false" outlineLevel="0" collapsed="false">
      <c r="A162" s="5" t="n">
        <v>144</v>
      </c>
      <c r="B162" s="5" t="s">
        <v>20</v>
      </c>
      <c r="C162" s="6" t="s">
        <v>193</v>
      </c>
      <c r="D162" s="7" t="n">
        <v>46042</v>
      </c>
      <c r="E162" s="7"/>
      <c r="F162" s="7"/>
      <c r="G162" s="8" t="n">
        <v>74800000</v>
      </c>
      <c r="H162" s="8" t="n">
        <v>53600000</v>
      </c>
      <c r="I162" s="8" t="n">
        <v>10000000</v>
      </c>
      <c r="J162" s="9" t="str">
        <f aca="false">IF(F162="","",IFERROR(INDEX(設定!$A$8:$A$15,MATCH(F162,設定!$B$8:$B$15,1)),"対象外"))</f>
        <v/>
      </c>
      <c r="K162" s="9" t="str">
        <f aca="false">IF(F162="","未売却",IF(F162&lt;=設定!$B$3,"実績","予定"))</f>
        <v>未売却</v>
      </c>
      <c r="L162" s="9" t="n">
        <f aca="false">IF(F162="",0,IF(OR(設定!$B$4="全て",K162="実績"),1,0))</f>
        <v>0</v>
      </c>
      <c r="M162" s="10" t="n">
        <f aca="false">IF(OR(G162="",H162=""),"",G162-H162-I162)</f>
        <v>11200000</v>
      </c>
      <c r="N162" s="11" t="n">
        <f aca="false">IF(M162="","",M162/G162)</f>
        <v>0.149732620320856</v>
      </c>
      <c r="O162" s="10" t="str">
        <f aca="false">IF(OR(D162="",F162=""),"",F162-D162)</f>
        <v/>
      </c>
      <c r="P162" s="9" t="str">
        <f aca="false">IF(G162="","",IF(INT(G162/設定!$B$5)*設定!$B$5&gt;=100000000,TEXT(INT(G162/設定!$B$5)*設定!$B$5/100000000,"0.0")&amp;"億",TEXT(INT(G162/設定!$B$5)*設定!$B$5/10000,"#,##0")&amp;"万")&amp;"〜")</f>
        <v>5,000万〜</v>
      </c>
      <c r="Q162" s="5" t="n">
        <v>148</v>
      </c>
      <c r="R162" s="12"/>
    </row>
    <row r="163" customFormat="false" ht="15" hidden="false" customHeight="false" outlineLevel="0" collapsed="false">
      <c r="A163" s="5" t="n">
        <v>146</v>
      </c>
      <c r="B163" s="6" t="s">
        <v>23</v>
      </c>
      <c r="C163" s="6" t="s">
        <v>194</v>
      </c>
      <c r="D163" s="7" t="n">
        <v>46073</v>
      </c>
      <c r="E163" s="7"/>
      <c r="F163" s="7"/>
      <c r="G163" s="8" t="n">
        <v>54800000</v>
      </c>
      <c r="H163" s="8" t="n">
        <v>25300000</v>
      </c>
      <c r="I163" s="8" t="n">
        <v>19260451</v>
      </c>
      <c r="J163" s="9" t="str">
        <f aca="false">IF(F163="","",IFERROR(INDEX(設定!$A$8:$A$15,MATCH(F163,設定!$B$8:$B$15,1)),"対象外"))</f>
        <v/>
      </c>
      <c r="K163" s="9" t="str">
        <f aca="false">IF(F163="","未売却",IF(F163&lt;=設定!$B$3,"実績","予定"))</f>
        <v>未売却</v>
      </c>
      <c r="L163" s="9" t="n">
        <f aca="false">IF(F163="",0,IF(OR(設定!$B$4="全て",K163="実績"),1,0))</f>
        <v>0</v>
      </c>
      <c r="M163" s="10" t="n">
        <f aca="false">IF(OR(G163="",H163=""),"",G163-H163-I163)</f>
        <v>10239549</v>
      </c>
      <c r="N163" s="11" t="n">
        <f aca="false">IF(M163="","",M163/G163)</f>
        <v>0.186853083941606</v>
      </c>
      <c r="O163" s="10" t="str">
        <f aca="false">IF(OR(D163="",F163=""),"",F163-D163)</f>
        <v/>
      </c>
      <c r="P163" s="9" t="str">
        <f aca="false">IF(G163="","",IF(INT(G163/設定!$B$5)*設定!$B$5&gt;=100000000,TEXT(INT(G163/設定!$B$5)*設定!$B$5/100000000,"0.0")&amp;"億",TEXT(INT(G163/設定!$B$5)*設定!$B$5/10000,"#,##0")&amp;"万")&amp;"〜")</f>
        <v>5,000万〜</v>
      </c>
      <c r="Q163" s="5" t="n">
        <v>150</v>
      </c>
      <c r="R163" s="12"/>
    </row>
    <row r="164" customFormat="false" ht="15" hidden="false" customHeight="false" outlineLevel="0" collapsed="false">
      <c r="A164" s="5" t="n">
        <v>149</v>
      </c>
      <c r="B164" s="6" t="s">
        <v>42</v>
      </c>
      <c r="C164" s="6" t="s">
        <v>195</v>
      </c>
      <c r="D164" s="7" t="n">
        <v>46172</v>
      </c>
      <c r="E164" s="7"/>
      <c r="F164" s="7"/>
      <c r="G164" s="8" t="n">
        <v>148000000</v>
      </c>
      <c r="H164" s="8" t="n">
        <v>119000000</v>
      </c>
      <c r="I164" s="8" t="n">
        <v>3800000</v>
      </c>
      <c r="J164" s="9" t="str">
        <f aca="false">IF(F164="","",IFERROR(INDEX(設定!$A$8:$A$15,MATCH(F164,設定!$B$8:$B$15,1)),"対象外"))</f>
        <v/>
      </c>
      <c r="K164" s="9" t="str">
        <f aca="false">IF(F164="","未売却",IF(F164&lt;=設定!$B$3,"実績","予定"))</f>
        <v>未売却</v>
      </c>
      <c r="L164" s="9" t="n">
        <f aca="false">IF(F164="",0,IF(OR(設定!$B$4="全て",K164="実績"),1,0))</f>
        <v>0</v>
      </c>
      <c r="M164" s="10" t="n">
        <f aca="false">IF(OR(G164="",H164=""),"",G164-H164-I164)</f>
        <v>25200000</v>
      </c>
      <c r="N164" s="11" t="n">
        <f aca="false">IF(M164="","",M164/G164)</f>
        <v>0.17027027027027</v>
      </c>
      <c r="O164" s="10" t="str">
        <f aca="false">IF(OR(D164="",F164=""),"",F164-D164)</f>
        <v/>
      </c>
      <c r="P164" s="9" t="str">
        <f aca="false">IF(G164="","",IF(INT(G164/設定!$B$5)*設定!$B$5&gt;=100000000,TEXT(INT(G164/設定!$B$5)*設定!$B$5/100000000,"0.0")&amp;"億",TEXT(INT(G164/設定!$B$5)*設定!$B$5/10000,"#,##0")&amp;"万")&amp;"〜")</f>
        <v>1.0億〜</v>
      </c>
      <c r="Q164" s="5" t="n">
        <v>153</v>
      </c>
      <c r="R164" s="12"/>
    </row>
    <row r="165" customFormat="false" ht="15" hidden="false" customHeight="false" outlineLevel="0" collapsed="false">
      <c r="A165" s="5" t="n">
        <v>150</v>
      </c>
      <c r="B165" s="6" t="s">
        <v>42</v>
      </c>
      <c r="C165" s="6" t="s">
        <v>196</v>
      </c>
      <c r="D165" s="7" t="n">
        <v>46073</v>
      </c>
      <c r="E165" s="7"/>
      <c r="F165" s="7"/>
      <c r="G165" s="8" t="n">
        <v>270000000</v>
      </c>
      <c r="H165" s="8" t="n">
        <v>231000000</v>
      </c>
      <c r="I165" s="8" t="n">
        <v>13750000</v>
      </c>
      <c r="J165" s="9" t="str">
        <f aca="false">IF(F165="","",IFERROR(INDEX(設定!$A$8:$A$15,MATCH(F165,設定!$B$8:$B$15,1)),"対象外"))</f>
        <v/>
      </c>
      <c r="K165" s="9" t="str">
        <f aca="false">IF(F165="","未売却",IF(F165&lt;=設定!$B$3,"実績","予定"))</f>
        <v>未売却</v>
      </c>
      <c r="L165" s="9" t="n">
        <f aca="false">IF(F165="",0,IF(OR(設定!$B$4="全て",K165="実績"),1,0))</f>
        <v>0</v>
      </c>
      <c r="M165" s="10" t="n">
        <f aca="false">IF(OR(G165="",H165=""),"",G165-H165-I165)</f>
        <v>25250000</v>
      </c>
      <c r="N165" s="11" t="n">
        <f aca="false">IF(M165="","",M165/G165)</f>
        <v>0.0935185185185185</v>
      </c>
      <c r="O165" s="10" t="str">
        <f aca="false">IF(OR(D165="",F165=""),"",F165-D165)</f>
        <v/>
      </c>
      <c r="P165" s="9" t="str">
        <f aca="false">IF(G165="","",IF(INT(G165/設定!$B$5)*設定!$B$5&gt;=100000000,TEXT(INT(G165/設定!$B$5)*設定!$B$5/100000000,"0.0")&amp;"億",TEXT(INT(G165/設定!$B$5)*設定!$B$5/10000,"#,##0")&amp;"万")&amp;"〜")</f>
        <v>2.5億〜</v>
      </c>
      <c r="Q165" s="5" t="n">
        <v>154</v>
      </c>
      <c r="R165" s="12"/>
    </row>
    <row r="166" customFormat="false" ht="15" hidden="false" customHeight="false" outlineLevel="0" collapsed="false">
      <c r="A166" s="5" t="n">
        <v>155</v>
      </c>
      <c r="B166" s="6" t="s">
        <v>42</v>
      </c>
      <c r="C166" s="6" t="s">
        <v>197</v>
      </c>
      <c r="D166" s="7" t="n">
        <v>46203</v>
      </c>
      <c r="E166" s="7"/>
      <c r="F166" s="7"/>
      <c r="G166" s="8" t="n">
        <v>67800000</v>
      </c>
      <c r="H166" s="8" t="n">
        <v>26250000</v>
      </c>
      <c r="I166" s="8" t="n">
        <v>23100000</v>
      </c>
      <c r="J166" s="9" t="str">
        <f aca="false">IF(F166="","",IFERROR(INDEX(設定!$A$8:$A$15,MATCH(F166,設定!$B$8:$B$15,1)),"対象外"))</f>
        <v/>
      </c>
      <c r="K166" s="9" t="str">
        <f aca="false">IF(F166="","未売却",IF(F166&lt;=設定!$B$3,"実績","予定"))</f>
        <v>未売却</v>
      </c>
      <c r="L166" s="9" t="n">
        <f aca="false">IF(F166="",0,IF(OR(設定!$B$4="全て",K166="実績"),1,0))</f>
        <v>0</v>
      </c>
      <c r="M166" s="10" t="n">
        <f aca="false">IF(OR(G166="",H166=""),"",G166-H166-I166)</f>
        <v>18450000</v>
      </c>
      <c r="N166" s="11" t="n">
        <f aca="false">IF(M166="","",M166/G166)</f>
        <v>0.27212389380531</v>
      </c>
      <c r="O166" s="10" t="str">
        <f aca="false">IF(OR(D166="",F166=""),"",F166-D166)</f>
        <v/>
      </c>
      <c r="P166" s="9" t="str">
        <f aca="false">IF(G166="","",IF(INT(G166/設定!$B$5)*設定!$B$5&gt;=100000000,TEXT(INT(G166/設定!$B$5)*設定!$B$5/100000000,"0.0")&amp;"億",TEXT(INT(G166/設定!$B$5)*設定!$B$5/10000,"#,##0")&amp;"万")&amp;"〜")</f>
        <v>5,000万〜</v>
      </c>
      <c r="Q166" s="5" t="n">
        <v>159</v>
      </c>
      <c r="R166" s="12"/>
    </row>
    <row r="167" customFormat="false" ht="15" hidden="false" customHeight="false" outlineLevel="0" collapsed="false">
      <c r="A167" s="5" t="n">
        <v>160</v>
      </c>
      <c r="B167" s="6" t="s">
        <v>26</v>
      </c>
      <c r="C167" s="6" t="s">
        <v>198</v>
      </c>
      <c r="D167" s="7" t="n">
        <v>46132</v>
      </c>
      <c r="E167" s="7"/>
      <c r="F167" s="7"/>
      <c r="G167" s="8" t="n">
        <v>108000000</v>
      </c>
      <c r="H167" s="8" t="n">
        <v>91700000</v>
      </c>
      <c r="I167" s="8" t="n">
        <v>0</v>
      </c>
      <c r="J167" s="9" t="str">
        <f aca="false">IF(F167="","",IFERROR(INDEX(設定!$A$8:$A$15,MATCH(F167,設定!$B$8:$B$15,1)),"対象外"))</f>
        <v/>
      </c>
      <c r="K167" s="9" t="str">
        <f aca="false">IF(F167="","未売却",IF(F167&lt;=設定!$B$3,"実績","予定"))</f>
        <v>未売却</v>
      </c>
      <c r="L167" s="9" t="n">
        <f aca="false">IF(F167="",0,IF(OR(設定!$B$4="全て",K167="実績"),1,0))</f>
        <v>0</v>
      </c>
      <c r="M167" s="10" t="n">
        <f aca="false">IF(OR(G167="",H167=""),"",G167-H167-I167)</f>
        <v>16300000</v>
      </c>
      <c r="N167" s="11" t="n">
        <f aca="false">IF(M167="","",M167/G167)</f>
        <v>0.150925925925926</v>
      </c>
      <c r="O167" s="10" t="str">
        <f aca="false">IF(OR(D167="",F167=""),"",F167-D167)</f>
        <v/>
      </c>
      <c r="P167" s="9" t="str">
        <f aca="false">IF(G167="","",IF(INT(G167/設定!$B$5)*設定!$B$5&gt;=100000000,TEXT(INT(G167/設定!$B$5)*設定!$B$5/100000000,"0.0")&amp;"億",TEXT(INT(G167/設定!$B$5)*設定!$B$5/10000,"#,##0")&amp;"万")&amp;"〜")</f>
        <v>1.0億〜</v>
      </c>
      <c r="Q167" s="5" t="n">
        <v>164</v>
      </c>
      <c r="R167" s="12"/>
    </row>
    <row r="168" customFormat="false" ht="15" hidden="false" customHeight="false" outlineLevel="0" collapsed="false">
      <c r="A168" s="5" t="n">
        <v>162</v>
      </c>
      <c r="B168" s="6" t="s">
        <v>23</v>
      </c>
      <c r="C168" s="6" t="s">
        <v>199</v>
      </c>
      <c r="D168" s="7" t="n">
        <v>46233</v>
      </c>
      <c r="E168" s="7"/>
      <c r="F168" s="7"/>
      <c r="G168" s="8" t="n">
        <v>128000000</v>
      </c>
      <c r="H168" s="8" t="n">
        <v>74200000</v>
      </c>
      <c r="I168" s="8" t="n">
        <v>36600000</v>
      </c>
      <c r="J168" s="9" t="str">
        <f aca="false">IF(F168="","",IFERROR(INDEX(設定!$A$8:$A$15,MATCH(F168,設定!$B$8:$B$15,1)),"対象外"))</f>
        <v/>
      </c>
      <c r="K168" s="9" t="str">
        <f aca="false">IF(F168="","未売却",IF(F168&lt;=設定!$B$3,"実績","予定"))</f>
        <v>未売却</v>
      </c>
      <c r="L168" s="9" t="n">
        <f aca="false">IF(F168="",0,IF(OR(設定!$B$4="全て",K168="実績"),1,0))</f>
        <v>0</v>
      </c>
      <c r="M168" s="10" t="n">
        <f aca="false">IF(OR(G168="",H168=""),"",G168-H168-I168)</f>
        <v>17200000</v>
      </c>
      <c r="N168" s="11" t="n">
        <f aca="false">IF(M168="","",M168/G168)</f>
        <v>0.134375</v>
      </c>
      <c r="O168" s="10" t="str">
        <f aca="false">IF(OR(D168="",F168=""),"",F168-D168)</f>
        <v/>
      </c>
      <c r="P168" s="9" t="str">
        <f aca="false">IF(G168="","",IF(INT(G168/設定!$B$5)*設定!$B$5&gt;=100000000,TEXT(INT(G168/設定!$B$5)*設定!$B$5/100000000,"0.0")&amp;"億",TEXT(INT(G168/設定!$B$5)*設定!$B$5/10000,"#,##0")&amp;"万")&amp;"〜")</f>
        <v>1.0億〜</v>
      </c>
      <c r="Q168" s="5" t="n">
        <v>166</v>
      </c>
      <c r="R168" s="12"/>
    </row>
    <row r="169" customFormat="false" ht="15" hidden="false" customHeight="false" outlineLevel="0" collapsed="false">
      <c r="A169" s="5" t="n">
        <v>163</v>
      </c>
      <c r="B169" s="6" t="s">
        <v>50</v>
      </c>
      <c r="C169" s="6" t="s">
        <v>200</v>
      </c>
      <c r="D169" s="7" t="n">
        <v>46171</v>
      </c>
      <c r="E169" s="7"/>
      <c r="F169" s="7"/>
      <c r="G169" s="8" t="n">
        <v>41800000</v>
      </c>
      <c r="H169" s="8" t="n">
        <v>31800000</v>
      </c>
      <c r="I169" s="8" t="n">
        <v>3700000</v>
      </c>
      <c r="J169" s="9" t="str">
        <f aca="false">IF(F169="","",IFERROR(INDEX(設定!$A$8:$A$15,MATCH(F169,設定!$B$8:$B$15,1)),"対象外"))</f>
        <v/>
      </c>
      <c r="K169" s="9" t="str">
        <f aca="false">IF(F169="","未売却",IF(F169&lt;=設定!$B$3,"実績","予定"))</f>
        <v>未売却</v>
      </c>
      <c r="L169" s="9" t="n">
        <f aca="false">IF(F169="",0,IF(OR(設定!$B$4="全て",K169="実績"),1,0))</f>
        <v>0</v>
      </c>
      <c r="M169" s="10" t="n">
        <f aca="false">IF(OR(G169="",H169=""),"",G169-H169-I169)</f>
        <v>6300000</v>
      </c>
      <c r="N169" s="11" t="n">
        <f aca="false">IF(M169="","",M169/G169)</f>
        <v>0.150717703349282</v>
      </c>
      <c r="O169" s="10" t="str">
        <f aca="false">IF(OR(D169="",F169=""),"",F169-D169)</f>
        <v/>
      </c>
      <c r="P169" s="9" t="str">
        <f aca="false">IF(G169="","",IF(INT(G169/設定!$B$5)*設定!$B$5&gt;=100000000,TEXT(INT(G169/設定!$B$5)*設定!$B$5/100000000,"0.0")&amp;"億",TEXT(INT(G169/設定!$B$5)*設定!$B$5/10000,"#,##0")&amp;"万")&amp;"〜")</f>
        <v>0万〜</v>
      </c>
      <c r="Q169" s="5" t="n">
        <v>167</v>
      </c>
      <c r="R169" s="12"/>
    </row>
    <row r="170" customFormat="false" ht="15" hidden="false" customHeight="false" outlineLevel="0" collapsed="false">
      <c r="A170" s="5" t="n">
        <v>164</v>
      </c>
      <c r="B170" s="6" t="s">
        <v>42</v>
      </c>
      <c r="C170" s="6" t="s">
        <v>201</v>
      </c>
      <c r="D170" s="7" t="n">
        <v>46264</v>
      </c>
      <c r="E170" s="7"/>
      <c r="F170" s="7"/>
      <c r="G170" s="8" t="n">
        <v>120000000</v>
      </c>
      <c r="H170" s="8" t="n">
        <v>93300000</v>
      </c>
      <c r="I170" s="8" t="n">
        <v>90300000</v>
      </c>
      <c r="J170" s="9" t="str">
        <f aca="false">IF(F170="","",IFERROR(INDEX(設定!$A$8:$A$15,MATCH(F170,設定!$B$8:$B$15,1)),"対象外"))</f>
        <v/>
      </c>
      <c r="K170" s="9" t="str">
        <f aca="false">IF(F170="","未売却",IF(F170&lt;=設定!$B$3,"実績","予定"))</f>
        <v>未売却</v>
      </c>
      <c r="L170" s="9" t="n">
        <f aca="false">IF(F170="",0,IF(OR(設定!$B$4="全て",K170="実績"),1,0))</f>
        <v>0</v>
      </c>
      <c r="M170" s="10" t="n">
        <f aca="false">IF(OR(G170="",H170=""),"",G170-H170-I170)</f>
        <v>-63600000</v>
      </c>
      <c r="N170" s="11" t="n">
        <f aca="false">IF(M170="","",M170/G170)</f>
        <v>-0.53</v>
      </c>
      <c r="O170" s="10" t="str">
        <f aca="false">IF(OR(D170="",F170=""),"",F170-D170)</f>
        <v/>
      </c>
      <c r="P170" s="9" t="str">
        <f aca="false">IF(G170="","",IF(INT(G170/設定!$B$5)*設定!$B$5&gt;=100000000,TEXT(INT(G170/設定!$B$5)*設定!$B$5/100000000,"0.0")&amp;"億",TEXT(INT(G170/設定!$B$5)*設定!$B$5/10000,"#,##0")&amp;"万")&amp;"〜")</f>
        <v>1.0億〜</v>
      </c>
      <c r="Q170" s="5" t="n">
        <v>168</v>
      </c>
      <c r="R170" s="12" t="s">
        <v>64</v>
      </c>
    </row>
    <row r="171" customFormat="false" ht="15" hidden="false" customHeight="false" outlineLevel="0" collapsed="false">
      <c r="A171" s="5" t="n">
        <v>166</v>
      </c>
      <c r="B171" s="6" t="s">
        <v>23</v>
      </c>
      <c r="C171" s="6" t="s">
        <v>202</v>
      </c>
      <c r="D171" s="7" t="n">
        <v>46233</v>
      </c>
      <c r="E171" s="7"/>
      <c r="F171" s="7"/>
      <c r="G171" s="8" t="n">
        <v>84800000</v>
      </c>
      <c r="H171" s="8" t="n">
        <v>43700000</v>
      </c>
      <c r="I171" s="8" t="n">
        <v>30700000</v>
      </c>
      <c r="J171" s="9" t="str">
        <f aca="false">IF(F171="","",IFERROR(INDEX(設定!$A$8:$A$15,MATCH(F171,設定!$B$8:$B$15,1)),"対象外"))</f>
        <v/>
      </c>
      <c r="K171" s="9" t="str">
        <f aca="false">IF(F171="","未売却",IF(F171&lt;=設定!$B$3,"実績","予定"))</f>
        <v>未売却</v>
      </c>
      <c r="L171" s="9" t="n">
        <f aca="false">IF(F171="",0,IF(OR(設定!$B$4="全て",K171="実績"),1,0))</f>
        <v>0</v>
      </c>
      <c r="M171" s="10" t="n">
        <f aca="false">IF(OR(G171="",H171=""),"",G171-H171-I171)</f>
        <v>10400000</v>
      </c>
      <c r="N171" s="11" t="n">
        <f aca="false">IF(M171="","",M171/G171)</f>
        <v>0.122641509433962</v>
      </c>
      <c r="O171" s="10" t="str">
        <f aca="false">IF(OR(D171="",F171=""),"",F171-D171)</f>
        <v/>
      </c>
      <c r="P171" s="9" t="str">
        <f aca="false">IF(G171="","",IF(INT(G171/設定!$B$5)*設定!$B$5&gt;=100000000,TEXT(INT(G171/設定!$B$5)*設定!$B$5/100000000,"0.0")&amp;"億",TEXT(INT(G171/設定!$B$5)*設定!$B$5/10000,"#,##0")&amp;"万")&amp;"〜")</f>
        <v>5,000万〜</v>
      </c>
      <c r="Q171" s="5" t="n">
        <v>170</v>
      </c>
      <c r="R171" s="12"/>
    </row>
    <row r="172" customFormat="false" ht="15" hidden="false" customHeight="false" outlineLevel="0" collapsed="false">
      <c r="A172" s="5" t="n">
        <v>167</v>
      </c>
      <c r="B172" s="6" t="s">
        <v>50</v>
      </c>
      <c r="C172" s="6" t="s">
        <v>203</v>
      </c>
      <c r="D172" s="7" t="n">
        <v>46234</v>
      </c>
      <c r="E172" s="7"/>
      <c r="F172" s="7"/>
      <c r="G172" s="8" t="n">
        <v>94800000</v>
      </c>
      <c r="H172" s="8" t="n">
        <v>73500000</v>
      </c>
      <c r="I172" s="8" t="n">
        <v>2300000</v>
      </c>
      <c r="J172" s="9" t="str">
        <f aca="false">IF(F172="","",IFERROR(INDEX(設定!$A$8:$A$15,MATCH(F172,設定!$B$8:$B$15,1)),"対象外"))</f>
        <v/>
      </c>
      <c r="K172" s="9" t="str">
        <f aca="false">IF(F172="","未売却",IF(F172&lt;=設定!$B$3,"実績","予定"))</f>
        <v>未売却</v>
      </c>
      <c r="L172" s="9" t="n">
        <f aca="false">IF(F172="",0,IF(OR(設定!$B$4="全て",K172="実績"),1,0))</f>
        <v>0</v>
      </c>
      <c r="M172" s="10" t="n">
        <f aca="false">IF(OR(G172="",H172=""),"",G172-H172-I172)</f>
        <v>19000000</v>
      </c>
      <c r="N172" s="11" t="n">
        <f aca="false">IF(M172="","",M172/G172)</f>
        <v>0.20042194092827</v>
      </c>
      <c r="O172" s="10" t="str">
        <f aca="false">IF(OR(D172="",F172=""),"",F172-D172)</f>
        <v/>
      </c>
      <c r="P172" s="9" t="str">
        <f aca="false">IF(G172="","",IF(INT(G172/設定!$B$5)*設定!$B$5&gt;=100000000,TEXT(INT(G172/設定!$B$5)*設定!$B$5/100000000,"0.0")&amp;"億",TEXT(INT(G172/設定!$B$5)*設定!$B$5/10000,"#,##0")&amp;"万")&amp;"〜")</f>
        <v>5,000万〜</v>
      </c>
      <c r="Q172" s="5" t="n">
        <v>171</v>
      </c>
      <c r="R172" s="12"/>
    </row>
    <row r="173" customFormat="false" ht="15" hidden="false" customHeight="false" outlineLevel="0" collapsed="false">
      <c r="A173" s="5" t="n">
        <v>168</v>
      </c>
      <c r="B173" s="6" t="s">
        <v>26</v>
      </c>
      <c r="C173" s="6" t="s">
        <v>204</v>
      </c>
      <c r="D173" s="7" t="n">
        <v>46195</v>
      </c>
      <c r="E173" s="7"/>
      <c r="F173" s="7"/>
      <c r="G173" s="8" t="n">
        <v>60000000</v>
      </c>
      <c r="H173" s="8" t="n">
        <v>39000000</v>
      </c>
      <c r="I173" s="8" t="n">
        <v>0</v>
      </c>
      <c r="J173" s="9" t="str">
        <f aca="false">IF(F173="","",IFERROR(INDEX(設定!$A$8:$A$15,MATCH(F173,設定!$B$8:$B$15,1)),"対象外"))</f>
        <v/>
      </c>
      <c r="K173" s="9" t="str">
        <f aca="false">IF(F173="","未売却",IF(F173&lt;=設定!$B$3,"実績","予定"))</f>
        <v>未売却</v>
      </c>
      <c r="L173" s="9" t="n">
        <f aca="false">IF(F173="",0,IF(OR(設定!$B$4="全て",K173="実績"),1,0))</f>
        <v>0</v>
      </c>
      <c r="M173" s="10" t="n">
        <f aca="false">IF(OR(G173="",H173=""),"",G173-H173-I173)</f>
        <v>21000000</v>
      </c>
      <c r="N173" s="11" t="n">
        <f aca="false">IF(M173="","",M173/G173)</f>
        <v>0.35</v>
      </c>
      <c r="O173" s="10" t="str">
        <f aca="false">IF(OR(D173="",F173=""),"",F173-D173)</f>
        <v/>
      </c>
      <c r="P173" s="9" t="str">
        <f aca="false">IF(G173="","",IF(INT(G173/設定!$B$5)*設定!$B$5&gt;=100000000,TEXT(INT(G173/設定!$B$5)*設定!$B$5/100000000,"0.0")&amp;"億",TEXT(INT(G173/設定!$B$5)*設定!$B$5/10000,"#,##0")&amp;"万")&amp;"〜")</f>
        <v>5,000万〜</v>
      </c>
      <c r="Q173" s="5" t="n">
        <v>172</v>
      </c>
      <c r="R173" s="12"/>
    </row>
    <row r="174" customFormat="false" ht="15" hidden="false" customHeight="false" outlineLevel="0" collapsed="false">
      <c r="A174" s="5" t="n">
        <v>169</v>
      </c>
      <c r="B174" s="6" t="s">
        <v>42</v>
      </c>
      <c r="C174" s="6" t="s">
        <v>205</v>
      </c>
      <c r="D174" s="7" t="n">
        <v>46265</v>
      </c>
      <c r="E174" s="7"/>
      <c r="F174" s="7"/>
      <c r="G174" s="8" t="n">
        <v>55000000</v>
      </c>
      <c r="H174" s="8" t="n">
        <v>43600000</v>
      </c>
      <c r="I174" s="8" t="n">
        <v>1000000</v>
      </c>
      <c r="J174" s="9" t="str">
        <f aca="false">IF(F174="","",IFERROR(INDEX(設定!$A$8:$A$15,MATCH(F174,設定!$B$8:$B$15,1)),"対象外"))</f>
        <v/>
      </c>
      <c r="K174" s="9" t="str">
        <f aca="false">IF(F174="","未売却",IF(F174&lt;=設定!$B$3,"実績","予定"))</f>
        <v>未売却</v>
      </c>
      <c r="L174" s="9" t="n">
        <f aca="false">IF(F174="",0,IF(OR(設定!$B$4="全て",K174="実績"),1,0))</f>
        <v>0</v>
      </c>
      <c r="M174" s="10" t="n">
        <f aca="false">IF(OR(G174="",H174=""),"",G174-H174-I174)</f>
        <v>10400000</v>
      </c>
      <c r="N174" s="11" t="n">
        <f aca="false">IF(M174="","",M174/G174)</f>
        <v>0.189090909090909</v>
      </c>
      <c r="O174" s="10" t="str">
        <f aca="false">IF(OR(D174="",F174=""),"",F174-D174)</f>
        <v/>
      </c>
      <c r="P174" s="9" t="str">
        <f aca="false">IF(G174="","",IF(INT(G174/設定!$B$5)*設定!$B$5&gt;=100000000,TEXT(INT(G174/設定!$B$5)*設定!$B$5/100000000,"0.0")&amp;"億",TEXT(INT(G174/設定!$B$5)*設定!$B$5/10000,"#,##0")&amp;"万")&amp;"〜")</f>
        <v>5,000万〜</v>
      </c>
      <c r="Q174" s="5" t="n">
        <v>173</v>
      </c>
      <c r="R174" s="12"/>
    </row>
    <row r="175" customFormat="false" ht="15" hidden="false" customHeight="false" outlineLevel="0" collapsed="false">
      <c r="A175" s="5" t="n">
        <v>170</v>
      </c>
      <c r="B175" s="6" t="s">
        <v>42</v>
      </c>
      <c r="C175" s="6" t="s">
        <v>206</v>
      </c>
      <c r="D175" s="7" t="n">
        <v>46265</v>
      </c>
      <c r="E175" s="7"/>
      <c r="F175" s="7"/>
      <c r="G175" s="8" t="n">
        <v>52000000</v>
      </c>
      <c r="H175" s="8" t="n">
        <v>43600000</v>
      </c>
      <c r="I175" s="8" t="n">
        <v>0</v>
      </c>
      <c r="J175" s="9" t="str">
        <f aca="false">IF(F175="","",IFERROR(INDEX(設定!$A$8:$A$15,MATCH(F175,設定!$B$8:$B$15,1)),"対象外"))</f>
        <v/>
      </c>
      <c r="K175" s="9" t="str">
        <f aca="false">IF(F175="","未売却",IF(F175&lt;=設定!$B$3,"実績","予定"))</f>
        <v>未売却</v>
      </c>
      <c r="L175" s="9" t="n">
        <f aca="false">IF(F175="",0,IF(OR(設定!$B$4="全て",K175="実績"),1,0))</f>
        <v>0</v>
      </c>
      <c r="M175" s="10" t="n">
        <f aca="false">IF(OR(G175="",H175=""),"",G175-H175-I175)</f>
        <v>8400000</v>
      </c>
      <c r="N175" s="11" t="n">
        <f aca="false">IF(M175="","",M175/G175)</f>
        <v>0.161538461538462</v>
      </c>
      <c r="O175" s="10" t="str">
        <f aca="false">IF(OR(D175="",F175=""),"",F175-D175)</f>
        <v/>
      </c>
      <c r="P175" s="9" t="str">
        <f aca="false">IF(G175="","",IF(INT(G175/設定!$B$5)*設定!$B$5&gt;=100000000,TEXT(INT(G175/設定!$B$5)*設定!$B$5/100000000,"0.0")&amp;"億",TEXT(INT(G175/設定!$B$5)*設定!$B$5/10000,"#,##0")&amp;"万")&amp;"〜")</f>
        <v>5,000万〜</v>
      </c>
      <c r="Q175" s="5" t="n">
        <v>174</v>
      </c>
      <c r="R175" s="12"/>
    </row>
    <row r="176" customFormat="false" ht="15" hidden="false" customHeight="false" outlineLevel="0" collapsed="false">
      <c r="A176" s="5" t="n">
        <v>172</v>
      </c>
      <c r="B176" s="6" t="s">
        <v>42</v>
      </c>
      <c r="C176" s="6" t="s">
        <v>207</v>
      </c>
      <c r="D176" s="7" t="n">
        <v>46280</v>
      </c>
      <c r="E176" s="7"/>
      <c r="F176" s="7"/>
      <c r="G176" s="8" t="n">
        <v>78000000</v>
      </c>
      <c r="H176" s="8" t="n">
        <v>51500000</v>
      </c>
      <c r="I176" s="8" t="n">
        <v>6300000</v>
      </c>
      <c r="J176" s="9" t="str">
        <f aca="false">IF(F176="","",IFERROR(INDEX(設定!$A$8:$A$15,MATCH(F176,設定!$B$8:$B$15,1)),"対象外"))</f>
        <v/>
      </c>
      <c r="K176" s="9" t="str">
        <f aca="false">IF(F176="","未売却",IF(F176&lt;=設定!$B$3,"実績","予定"))</f>
        <v>未売却</v>
      </c>
      <c r="L176" s="9" t="n">
        <f aca="false">IF(F176="",0,IF(OR(設定!$B$4="全て",K176="実績"),1,0))</f>
        <v>0</v>
      </c>
      <c r="M176" s="10" t="n">
        <f aca="false">IF(OR(G176="",H176=""),"",G176-H176-I176)</f>
        <v>20200000</v>
      </c>
      <c r="N176" s="11" t="n">
        <f aca="false">IF(M176="","",M176/G176)</f>
        <v>0.258974358974359</v>
      </c>
      <c r="O176" s="10" t="str">
        <f aca="false">IF(OR(D176="",F176=""),"",F176-D176)</f>
        <v/>
      </c>
      <c r="P176" s="9" t="str">
        <f aca="false">IF(G176="","",IF(INT(G176/設定!$B$5)*設定!$B$5&gt;=100000000,TEXT(INT(G176/設定!$B$5)*設定!$B$5/100000000,"0.0")&amp;"億",TEXT(INT(G176/設定!$B$5)*設定!$B$5/10000,"#,##0")&amp;"万")&amp;"〜")</f>
        <v>5,000万〜</v>
      </c>
      <c r="Q176" s="5" t="n">
        <v>176</v>
      </c>
      <c r="R176" s="12"/>
    </row>
    <row r="177" customFormat="false" ht="15" hidden="false" customHeight="false" outlineLevel="0" collapsed="false">
      <c r="A177" s="5" t="n">
        <v>173</v>
      </c>
      <c r="B177" s="5" t="s">
        <v>20</v>
      </c>
      <c r="C177" s="6" t="s">
        <v>208</v>
      </c>
      <c r="D177" s="7" t="n">
        <v>46325</v>
      </c>
      <c r="E177" s="7"/>
      <c r="F177" s="7"/>
      <c r="G177" s="8" t="n">
        <v>54800000</v>
      </c>
      <c r="H177" s="8" t="n">
        <v>29600000</v>
      </c>
      <c r="I177" s="8" t="n">
        <v>10000000</v>
      </c>
      <c r="J177" s="9" t="str">
        <f aca="false">IF(F177="","",IFERROR(INDEX(設定!$A$8:$A$15,MATCH(F177,設定!$B$8:$B$15,1)),"対象外"))</f>
        <v/>
      </c>
      <c r="K177" s="9" t="str">
        <f aca="false">IF(F177="","未売却",IF(F177&lt;=設定!$B$3,"実績","予定"))</f>
        <v>未売却</v>
      </c>
      <c r="L177" s="9" t="n">
        <f aca="false">IF(F177="",0,IF(OR(設定!$B$4="全て",K177="実績"),1,0))</f>
        <v>0</v>
      </c>
      <c r="M177" s="10" t="n">
        <f aca="false">IF(OR(G177="",H177=""),"",G177-H177-I177)</f>
        <v>15200000</v>
      </c>
      <c r="N177" s="11" t="n">
        <f aca="false">IF(M177="","",M177/G177)</f>
        <v>0.277372262773723</v>
      </c>
      <c r="O177" s="10" t="str">
        <f aca="false">IF(OR(D177="",F177=""),"",F177-D177)</f>
        <v/>
      </c>
      <c r="P177" s="9" t="str">
        <f aca="false">IF(G177="","",IF(INT(G177/設定!$B$5)*設定!$B$5&gt;=100000000,TEXT(INT(G177/設定!$B$5)*設定!$B$5/100000000,"0.0")&amp;"億",TEXT(INT(G177/設定!$B$5)*設定!$B$5/10000,"#,##0")&amp;"万")&amp;"〜")</f>
        <v>5,000万〜</v>
      </c>
      <c r="Q177" s="5" t="n">
        <v>177</v>
      </c>
      <c r="R177" s="12"/>
    </row>
    <row r="178" customFormat="false" ht="15" hidden="false" customHeight="false" outlineLevel="0" collapsed="false">
      <c r="A178" s="5" t="n">
        <v>174</v>
      </c>
      <c r="B178" s="6" t="s">
        <v>26</v>
      </c>
      <c r="C178" s="6" t="s">
        <v>105</v>
      </c>
      <c r="D178" s="7" t="n">
        <v>46336</v>
      </c>
      <c r="E178" s="7"/>
      <c r="F178" s="7"/>
      <c r="G178" s="8" t="n">
        <v>54800000</v>
      </c>
      <c r="H178" s="8" t="n">
        <v>35100000</v>
      </c>
      <c r="I178" s="8" t="n">
        <v>13000000</v>
      </c>
      <c r="J178" s="9" t="str">
        <f aca="false">IF(F178="","",IFERROR(INDEX(設定!$A$8:$A$15,MATCH(F178,設定!$B$8:$B$15,1)),"対象外"))</f>
        <v/>
      </c>
      <c r="K178" s="9" t="str">
        <f aca="false">IF(F178="","未売却",IF(F178&lt;=設定!$B$3,"実績","予定"))</f>
        <v>未売却</v>
      </c>
      <c r="L178" s="9" t="n">
        <f aca="false">IF(F178="",0,IF(OR(設定!$B$4="全て",K178="実績"),1,0))</f>
        <v>0</v>
      </c>
      <c r="M178" s="10" t="n">
        <f aca="false">IF(OR(G178="",H178=""),"",G178-H178-I178)</f>
        <v>6700000</v>
      </c>
      <c r="N178" s="11" t="n">
        <f aca="false">IF(M178="","",M178/G178)</f>
        <v>0.122262773722628</v>
      </c>
      <c r="O178" s="10" t="str">
        <f aca="false">IF(OR(D178="",F178=""),"",F178-D178)</f>
        <v/>
      </c>
      <c r="P178" s="9" t="str">
        <f aca="false">IF(G178="","",IF(INT(G178/設定!$B$5)*設定!$B$5&gt;=100000000,TEXT(INT(G178/設定!$B$5)*設定!$B$5/100000000,"0.0")&amp;"億",TEXT(INT(G178/設定!$B$5)*設定!$B$5/10000,"#,##0")&amp;"万")&amp;"〜")</f>
        <v>5,000万〜</v>
      </c>
      <c r="Q178" s="5" t="n">
        <v>178</v>
      </c>
      <c r="R178" s="12"/>
    </row>
    <row r="179" customFormat="false" ht="15" hidden="false" customHeight="false" outlineLevel="0" collapsed="false">
      <c r="A179" s="5" t="n">
        <v>175</v>
      </c>
      <c r="B179" s="5" t="s">
        <v>20</v>
      </c>
      <c r="C179" s="6" t="s">
        <v>209</v>
      </c>
      <c r="D179" s="7" t="n">
        <v>46356</v>
      </c>
      <c r="E179" s="7"/>
      <c r="F179" s="7"/>
      <c r="G179" s="8" t="n">
        <v>44900000</v>
      </c>
      <c r="H179" s="8" t="n">
        <v>29300000</v>
      </c>
      <c r="I179" s="8" t="n">
        <v>7800000</v>
      </c>
      <c r="J179" s="9" t="str">
        <f aca="false">IF(F179="","",IFERROR(INDEX(設定!$A$8:$A$15,MATCH(F179,設定!$B$8:$B$15,1)),"対象外"))</f>
        <v/>
      </c>
      <c r="K179" s="9" t="str">
        <f aca="false">IF(F179="","未売却",IF(F179&lt;=設定!$B$3,"実績","予定"))</f>
        <v>未売却</v>
      </c>
      <c r="L179" s="9" t="n">
        <f aca="false">IF(F179="",0,IF(OR(設定!$B$4="全て",K179="実績"),1,0))</f>
        <v>0</v>
      </c>
      <c r="M179" s="10" t="n">
        <f aca="false">IF(OR(G179="",H179=""),"",G179-H179-I179)</f>
        <v>7800000</v>
      </c>
      <c r="N179" s="11" t="n">
        <f aca="false">IF(M179="","",M179/G179)</f>
        <v>0.173719376391982</v>
      </c>
      <c r="O179" s="10" t="str">
        <f aca="false">IF(OR(D179="",F179=""),"",F179-D179)</f>
        <v/>
      </c>
      <c r="P179" s="9" t="str">
        <f aca="false">IF(G179="","",IF(INT(G179/設定!$B$5)*設定!$B$5&gt;=100000000,TEXT(INT(G179/設定!$B$5)*設定!$B$5/100000000,"0.0")&amp;"億",TEXT(INT(G179/設定!$B$5)*設定!$B$5/10000,"#,##0")&amp;"万")&amp;"〜")</f>
        <v>0万〜</v>
      </c>
      <c r="Q179" s="5" t="n">
        <v>179</v>
      </c>
      <c r="R179" s="12"/>
    </row>
    <row r="180" customFormat="false" ht="15" hidden="false" customHeight="false" outlineLevel="0" collapsed="false">
      <c r="A180" s="5" t="n">
        <v>176</v>
      </c>
      <c r="B180" s="6" t="s">
        <v>156</v>
      </c>
      <c r="C180" s="6" t="s">
        <v>210</v>
      </c>
      <c r="D180" s="7" t="n">
        <v>46336</v>
      </c>
      <c r="E180" s="7"/>
      <c r="F180" s="7"/>
      <c r="G180" s="8" t="n">
        <v>79800000</v>
      </c>
      <c r="H180" s="8" t="n">
        <v>59000000</v>
      </c>
      <c r="I180" s="8" t="n">
        <v>6300000</v>
      </c>
      <c r="J180" s="9" t="str">
        <f aca="false">IF(F180="","",IFERROR(INDEX(設定!$A$8:$A$15,MATCH(F180,設定!$B$8:$B$15,1)),"対象外"))</f>
        <v/>
      </c>
      <c r="K180" s="9" t="str">
        <f aca="false">IF(F180="","未売却",IF(F180&lt;=設定!$B$3,"実績","予定"))</f>
        <v>未売却</v>
      </c>
      <c r="L180" s="9" t="n">
        <f aca="false">IF(F180="",0,IF(OR(設定!$B$4="全て",K180="実績"),1,0))</f>
        <v>0</v>
      </c>
      <c r="M180" s="10" t="n">
        <f aca="false">IF(OR(G180="",H180=""),"",G180-H180-I180)</f>
        <v>14500000</v>
      </c>
      <c r="N180" s="11" t="n">
        <f aca="false">IF(M180="","",M180/G180)</f>
        <v>0.181704260651629</v>
      </c>
      <c r="O180" s="10" t="str">
        <f aca="false">IF(OR(D180="",F180=""),"",F180-D180)</f>
        <v/>
      </c>
      <c r="P180" s="9" t="str">
        <f aca="false">IF(G180="","",IF(INT(G180/設定!$B$5)*設定!$B$5&gt;=100000000,TEXT(INT(G180/設定!$B$5)*設定!$B$5/100000000,"0.0")&amp;"億",TEXT(INT(G180/設定!$B$5)*設定!$B$5/10000,"#,##0")&amp;"万")&amp;"〜")</f>
        <v>5,000万〜</v>
      </c>
      <c r="Q180" s="5" t="n">
        <v>180</v>
      </c>
      <c r="R180" s="12"/>
    </row>
  </sheetData>
  <autoFilter ref="A4:R1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tr">
        <f aca="false">" 集計対象："&amp;設定!B4&amp;"／基準日："&amp;TEXT(設定!B3,"yyyy/mm/dd")</f>
        <v> 集計対象：全て／基準日：2026/09/29</v>
      </c>
    </row>
    <row r="4" customFormat="false" ht="15" hidden="false" customHeight="false" outlineLevel="0" collapsed="false">
      <c r="A4" s="4" t="s">
        <v>3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  <c r="G4" s="3" t="s">
        <v>217</v>
      </c>
      <c r="H4" s="4" t="s">
        <v>218</v>
      </c>
    </row>
    <row r="5" customFormat="false" ht="15" hidden="false" customHeight="false" outlineLevel="0" collapsed="false">
      <c r="A5" s="13" t="s">
        <v>23</v>
      </c>
      <c r="B5" s="10" t="n">
        <f aca="false">COUNTIFS(物件データ!$B$5:$B$180,$A5,物件データ!$J$5:$J$180,B$4,物件データ!$L$5:$L$180,1)</f>
        <v>17</v>
      </c>
      <c r="C5" s="10" t="n">
        <f aca="false">COUNTIFS(物件データ!$B$5:$B$180,$A5,物件データ!$J$5:$J$180,C$4,物件データ!$L$5:$L$180,1)</f>
        <v>17</v>
      </c>
      <c r="D5" s="10" t="n">
        <f aca="false">COUNTIFS(物件データ!$B$5:$B$180,$A5,物件データ!$J$5:$J$180,D$4,物件データ!$L$5:$L$180,1)</f>
        <v>4</v>
      </c>
      <c r="E5" s="10" t="n">
        <f aca="false">COUNTIFS(物件データ!$B$5:$B$180,$A5,物件データ!$J$5:$J$180,E$4,物件データ!$L$5:$L$180,1)</f>
        <v>13</v>
      </c>
      <c r="F5" s="10" t="n">
        <f aca="false">COUNTIFS(物件データ!$B$5:$B$180,$A5,物件データ!$J$5:$J$180,F$4,物件データ!$L$5:$L$180,1)</f>
        <v>7</v>
      </c>
      <c r="G5" s="10" t="n">
        <f aca="false">COUNTIFS(物件データ!$B$5:$B$180,$A5,物件データ!$J$5:$J$180,G$4,物件データ!$L$5:$L$180,1)</f>
        <v>3</v>
      </c>
      <c r="H5" s="14" t="n">
        <f aca="false">SUM(B5:G5)</f>
        <v>61</v>
      </c>
    </row>
    <row r="6" customFormat="false" ht="15" hidden="false" customHeight="false" outlineLevel="0" collapsed="false">
      <c r="A6" s="13" t="s">
        <v>42</v>
      </c>
      <c r="B6" s="10" t="n">
        <f aca="false">COUNTIFS(物件データ!$B$5:$B$180,$A6,物件データ!$J$5:$J$180,B$4,物件データ!$L$5:$L$180,1)</f>
        <v>2</v>
      </c>
      <c r="C6" s="10" t="n">
        <f aca="false">COUNTIFS(物件データ!$B$5:$B$180,$A6,物件データ!$J$5:$J$180,C$4,物件データ!$L$5:$L$180,1)</f>
        <v>3</v>
      </c>
      <c r="D6" s="10" t="n">
        <f aca="false">COUNTIFS(物件データ!$B$5:$B$180,$A6,物件データ!$J$5:$J$180,D$4,物件データ!$L$5:$L$180,1)</f>
        <v>0</v>
      </c>
      <c r="E6" s="10" t="n">
        <f aca="false">COUNTIFS(物件データ!$B$5:$B$180,$A6,物件データ!$J$5:$J$180,E$4,物件データ!$L$5:$L$180,1)</f>
        <v>4</v>
      </c>
      <c r="F6" s="10" t="n">
        <f aca="false">COUNTIFS(物件データ!$B$5:$B$180,$A6,物件データ!$J$5:$J$180,F$4,物件データ!$L$5:$L$180,1)</f>
        <v>10</v>
      </c>
      <c r="G6" s="10" t="n">
        <f aca="false">COUNTIFS(物件データ!$B$5:$B$180,$A6,物件データ!$J$5:$J$180,G$4,物件データ!$L$5:$L$180,1)</f>
        <v>2</v>
      </c>
      <c r="H6" s="14" t="n">
        <f aca="false">SUM(B6:G6)</f>
        <v>21</v>
      </c>
    </row>
    <row r="7" customFormat="false" ht="15" hidden="false" customHeight="false" outlineLevel="0" collapsed="false">
      <c r="A7" s="15" t="s">
        <v>219</v>
      </c>
      <c r="B7" s="10" t="n">
        <f aca="false">COUNTIFS(物件データ!$B$5:$B$180,$A7,物件データ!$J$5:$J$180,B$4,物件データ!$L$5:$L$180,1)</f>
        <v>5</v>
      </c>
      <c r="C7" s="10" t="n">
        <f aca="false">COUNTIFS(物件データ!$B$5:$B$180,$A7,物件データ!$J$5:$J$180,C$4,物件データ!$L$5:$L$180,1)</f>
        <v>5</v>
      </c>
      <c r="D7" s="10" t="n">
        <f aca="false">COUNTIFS(物件データ!$B$5:$B$180,$A7,物件データ!$J$5:$J$180,D$4,物件データ!$L$5:$L$180,1)</f>
        <v>0</v>
      </c>
      <c r="E7" s="10" t="n">
        <f aca="false">COUNTIFS(物件データ!$B$5:$B$180,$A7,物件データ!$J$5:$J$180,E$4,物件データ!$L$5:$L$180,1)</f>
        <v>4</v>
      </c>
      <c r="F7" s="10" t="n">
        <f aca="false">COUNTIFS(物件データ!$B$5:$B$180,$A7,物件データ!$J$5:$J$180,F$4,物件データ!$L$5:$L$180,1)</f>
        <v>5</v>
      </c>
      <c r="G7" s="10" t="n">
        <f aca="false">COUNTIFS(物件データ!$B$5:$B$180,$A7,物件データ!$J$5:$J$180,G$4,物件データ!$L$5:$L$180,1)</f>
        <v>1</v>
      </c>
      <c r="H7" s="14" t="n">
        <f aca="false">SUM(B7:G7)</f>
        <v>20</v>
      </c>
    </row>
    <row r="8" customFormat="false" ht="15" hidden="false" customHeight="false" outlineLevel="0" collapsed="false">
      <c r="A8" s="13" t="s">
        <v>26</v>
      </c>
      <c r="B8" s="10" t="n">
        <f aca="false">COUNTIFS(物件データ!$B$5:$B$180,$A8,物件データ!$J$5:$J$180,B$4,物件データ!$L$5:$L$180,1)</f>
        <v>4</v>
      </c>
      <c r="C8" s="10" t="n">
        <f aca="false">COUNTIFS(物件データ!$B$5:$B$180,$A8,物件データ!$J$5:$J$180,C$4,物件データ!$L$5:$L$180,1)</f>
        <v>3</v>
      </c>
      <c r="D8" s="10" t="n">
        <f aca="false">COUNTIFS(物件データ!$B$5:$B$180,$A8,物件データ!$J$5:$J$180,D$4,物件データ!$L$5:$L$180,1)</f>
        <v>1</v>
      </c>
      <c r="E8" s="10" t="n">
        <f aca="false">COUNTIFS(物件データ!$B$5:$B$180,$A8,物件データ!$J$5:$J$180,E$4,物件データ!$L$5:$L$180,1)</f>
        <v>3</v>
      </c>
      <c r="F8" s="10" t="n">
        <f aca="false">COUNTIFS(物件データ!$B$5:$B$180,$A8,物件データ!$J$5:$J$180,F$4,物件データ!$L$5:$L$180,1)</f>
        <v>3</v>
      </c>
      <c r="G8" s="10" t="n">
        <f aca="false">COUNTIFS(物件データ!$B$5:$B$180,$A8,物件データ!$J$5:$J$180,G$4,物件データ!$L$5:$L$180,1)</f>
        <v>0</v>
      </c>
      <c r="H8" s="14" t="n">
        <f aca="false">SUM(B8:G8)</f>
        <v>14</v>
      </c>
    </row>
    <row r="9" customFormat="false" ht="15" hidden="false" customHeight="false" outlineLevel="0" collapsed="false">
      <c r="A9" s="13" t="s">
        <v>50</v>
      </c>
      <c r="B9" s="10" t="n">
        <f aca="false">COUNTIFS(物件データ!$B$5:$B$180,$A9,物件データ!$J$5:$J$180,B$4,物件データ!$L$5:$L$180,1)</f>
        <v>2</v>
      </c>
      <c r="C9" s="10" t="n">
        <f aca="false">COUNTIFS(物件データ!$B$5:$B$180,$A9,物件データ!$J$5:$J$180,C$4,物件データ!$L$5:$L$180,1)</f>
        <v>1</v>
      </c>
      <c r="D9" s="10" t="n">
        <f aca="false">COUNTIFS(物件データ!$B$5:$B$180,$A9,物件データ!$J$5:$J$180,D$4,物件データ!$L$5:$L$180,1)</f>
        <v>0</v>
      </c>
      <c r="E9" s="10" t="n">
        <f aca="false">COUNTIFS(物件データ!$B$5:$B$180,$A9,物件データ!$J$5:$J$180,E$4,物件データ!$L$5:$L$180,1)</f>
        <v>3</v>
      </c>
      <c r="F9" s="10" t="n">
        <f aca="false">COUNTIFS(物件データ!$B$5:$B$180,$A9,物件データ!$J$5:$J$180,F$4,物件データ!$L$5:$L$180,1)</f>
        <v>0</v>
      </c>
      <c r="G9" s="10" t="n">
        <f aca="false">COUNTIFS(物件データ!$B$5:$B$180,$A9,物件データ!$J$5:$J$180,G$4,物件データ!$L$5:$L$180,1)</f>
        <v>0</v>
      </c>
      <c r="H9" s="14" t="n">
        <f aca="false">SUM(B9:G9)</f>
        <v>6</v>
      </c>
    </row>
    <row r="10" customFormat="false" ht="15" hidden="false" customHeight="false" outlineLevel="0" collapsed="false">
      <c r="A10" s="13" t="s">
        <v>93</v>
      </c>
      <c r="B10" s="10" t="n">
        <f aca="false">COUNTIFS(物件データ!$B$5:$B$180,$A10,物件データ!$J$5:$J$180,B$4,物件データ!$L$5:$L$180,1)</f>
        <v>0</v>
      </c>
      <c r="C10" s="10" t="n">
        <f aca="false">COUNTIFS(物件データ!$B$5:$B$180,$A10,物件データ!$J$5:$J$180,C$4,物件データ!$L$5:$L$180,1)</f>
        <v>0</v>
      </c>
      <c r="D10" s="10" t="n">
        <f aca="false">COUNTIFS(物件データ!$B$5:$B$180,$A10,物件データ!$J$5:$J$180,D$4,物件データ!$L$5:$L$180,1)</f>
        <v>1</v>
      </c>
      <c r="E10" s="10" t="n">
        <f aca="false">COUNTIFS(物件データ!$B$5:$B$180,$A10,物件データ!$J$5:$J$180,E$4,物件データ!$L$5:$L$180,1)</f>
        <v>3</v>
      </c>
      <c r="F10" s="10" t="n">
        <f aca="false">COUNTIFS(物件データ!$B$5:$B$180,$A10,物件データ!$J$5:$J$180,F$4,物件データ!$L$5:$L$180,1)</f>
        <v>1</v>
      </c>
      <c r="G10" s="10" t="n">
        <f aca="false">COUNTIFS(物件データ!$B$5:$B$180,$A10,物件データ!$J$5:$J$180,G$4,物件データ!$L$5:$L$180,1)</f>
        <v>0</v>
      </c>
      <c r="H10" s="14" t="n">
        <f aca="false">SUM(B10:G10)</f>
        <v>5</v>
      </c>
    </row>
    <row r="11" customFormat="false" ht="15" hidden="false" customHeight="false" outlineLevel="0" collapsed="false">
      <c r="A11" s="13" t="s">
        <v>69</v>
      </c>
      <c r="B11" s="10" t="n">
        <f aca="false">COUNTIFS(物件データ!$B$5:$B$180,$A11,物件データ!$J$5:$J$180,B$4,物件データ!$L$5:$L$180,1)</f>
        <v>0</v>
      </c>
      <c r="C11" s="10" t="n">
        <f aca="false">COUNTIFS(物件データ!$B$5:$B$180,$A11,物件データ!$J$5:$J$180,C$4,物件データ!$L$5:$L$180,1)</f>
        <v>2</v>
      </c>
      <c r="D11" s="10" t="n">
        <f aca="false">COUNTIFS(物件データ!$B$5:$B$180,$A11,物件データ!$J$5:$J$180,D$4,物件データ!$L$5:$L$180,1)</f>
        <v>0</v>
      </c>
      <c r="E11" s="10" t="n">
        <f aca="false">COUNTIFS(物件データ!$B$5:$B$180,$A11,物件データ!$J$5:$J$180,E$4,物件データ!$L$5:$L$180,1)</f>
        <v>1</v>
      </c>
      <c r="F11" s="10" t="n">
        <f aca="false">COUNTIFS(物件データ!$B$5:$B$180,$A11,物件データ!$J$5:$J$180,F$4,物件データ!$L$5:$L$180,1)</f>
        <v>1</v>
      </c>
      <c r="G11" s="10" t="n">
        <f aca="false">COUNTIFS(物件データ!$B$5:$B$180,$A11,物件データ!$J$5:$J$180,G$4,物件データ!$L$5:$L$180,1)</f>
        <v>0</v>
      </c>
      <c r="H11" s="14" t="n">
        <f aca="false">SUM(B11:G11)</f>
        <v>4</v>
      </c>
    </row>
    <row r="12" customFormat="false" ht="15" hidden="false" customHeight="false" outlineLevel="0" collapsed="false">
      <c r="A12" s="15" t="s">
        <v>220</v>
      </c>
      <c r="B12" s="10" t="n">
        <f aca="false">COUNTIFS(物件データ!$B$5:$B$180,$A12,物件データ!$J$5:$J$180,B$4,物件データ!$L$5:$L$180,1)</f>
        <v>0</v>
      </c>
      <c r="C12" s="10" t="n">
        <f aca="false">COUNTIFS(物件データ!$B$5:$B$180,$A12,物件データ!$J$5:$J$180,C$4,物件データ!$L$5:$L$180,1)</f>
        <v>1</v>
      </c>
      <c r="D12" s="10" t="n">
        <f aca="false">COUNTIFS(物件データ!$B$5:$B$180,$A12,物件データ!$J$5:$J$180,D$4,物件データ!$L$5:$L$180,1)</f>
        <v>0</v>
      </c>
      <c r="E12" s="10" t="n">
        <f aca="false">COUNTIFS(物件データ!$B$5:$B$180,$A12,物件データ!$J$5:$J$180,E$4,物件データ!$L$5:$L$180,1)</f>
        <v>1</v>
      </c>
      <c r="F12" s="10" t="n">
        <f aca="false">COUNTIFS(物件データ!$B$5:$B$180,$A12,物件データ!$J$5:$J$180,F$4,物件データ!$L$5:$L$180,1)</f>
        <v>0</v>
      </c>
      <c r="G12" s="10" t="n">
        <f aca="false">COUNTIFS(物件データ!$B$5:$B$180,$A12,物件データ!$J$5:$J$180,G$4,物件データ!$L$5:$L$180,1)</f>
        <v>0</v>
      </c>
      <c r="H12" s="14" t="n">
        <f aca="false">SUM(B12:G12)</f>
        <v>2</v>
      </c>
    </row>
    <row r="13" customFormat="false" ht="15" hidden="false" customHeight="false" outlineLevel="0" collapsed="false">
      <c r="A13" s="15" t="s">
        <v>122</v>
      </c>
      <c r="B13" s="10" t="n">
        <f aca="false">COUNTIFS(物件データ!$B$5:$B$180,$A13,物件データ!$J$5:$J$180,B$4,物件データ!$L$5:$L$180,1)</f>
        <v>0</v>
      </c>
      <c r="C13" s="10" t="n">
        <f aca="false">COUNTIFS(物件データ!$B$5:$B$180,$A13,物件データ!$J$5:$J$180,C$4,物件データ!$L$5:$L$180,1)</f>
        <v>0</v>
      </c>
      <c r="D13" s="10" t="n">
        <f aca="false">COUNTIFS(物件データ!$B$5:$B$180,$A13,物件データ!$J$5:$J$180,D$4,物件データ!$L$5:$L$180,1)</f>
        <v>0</v>
      </c>
      <c r="E13" s="10" t="n">
        <f aca="false">COUNTIFS(物件データ!$B$5:$B$180,$A13,物件データ!$J$5:$J$180,E$4,物件データ!$L$5:$L$180,1)</f>
        <v>1</v>
      </c>
      <c r="F13" s="10" t="n">
        <f aca="false">COUNTIFS(物件データ!$B$5:$B$180,$A13,物件データ!$J$5:$J$180,F$4,物件データ!$L$5:$L$180,1)</f>
        <v>0</v>
      </c>
      <c r="G13" s="10" t="n">
        <f aca="false">COUNTIFS(物件データ!$B$5:$B$180,$A13,物件データ!$J$5:$J$180,G$4,物件データ!$L$5:$L$180,1)</f>
        <v>0</v>
      </c>
      <c r="H13" s="14" t="n">
        <f aca="false">SUM(B13:G13)</f>
        <v>1</v>
      </c>
    </row>
    <row r="14" customFormat="false" ht="15" hidden="false" customHeight="false" outlineLevel="0" collapsed="false">
      <c r="A14" s="13" t="s">
        <v>221</v>
      </c>
      <c r="B14" s="10" t="n">
        <f aca="false">COUNTIFS(物件データ!$B$5:$B$180,$A14,物件データ!$J$5:$J$180,B$4,物件データ!$L$5:$L$180,1)</f>
        <v>0</v>
      </c>
      <c r="C14" s="10" t="n">
        <f aca="false">COUNTIFS(物件データ!$B$5:$B$180,$A14,物件データ!$J$5:$J$180,C$4,物件データ!$L$5:$L$180,1)</f>
        <v>0</v>
      </c>
      <c r="D14" s="10" t="n">
        <f aca="false">COUNTIFS(物件データ!$B$5:$B$180,$A14,物件データ!$J$5:$J$180,D$4,物件データ!$L$5:$L$180,1)</f>
        <v>0</v>
      </c>
      <c r="E14" s="10" t="n">
        <f aca="false">COUNTIFS(物件データ!$B$5:$B$180,$A14,物件データ!$J$5:$J$180,E$4,物件データ!$L$5:$L$180,1)</f>
        <v>0</v>
      </c>
      <c r="F14" s="10" t="n">
        <f aca="false">COUNTIFS(物件データ!$B$5:$B$180,$A14,物件データ!$J$5:$J$180,F$4,物件データ!$L$5:$L$180,1)</f>
        <v>1</v>
      </c>
      <c r="G14" s="10" t="n">
        <f aca="false">COUNTIFS(物件データ!$B$5:$B$180,$A14,物件データ!$J$5:$J$180,G$4,物件データ!$L$5:$L$180,1)</f>
        <v>0</v>
      </c>
      <c r="H14" s="14" t="n">
        <f aca="false">SUM(B14:G14)</f>
        <v>1</v>
      </c>
    </row>
    <row r="15" customFormat="false" ht="15" hidden="false" customHeight="false" outlineLevel="0" collapsed="false">
      <c r="A15" s="16" t="s">
        <v>218</v>
      </c>
      <c r="B15" s="14" t="n">
        <f aca="false">SUM(B5:B14)</f>
        <v>30</v>
      </c>
      <c r="C15" s="14" t="n">
        <f aca="false">SUM(C5:C14)</f>
        <v>32</v>
      </c>
      <c r="D15" s="14" t="n">
        <f aca="false">SUM(D5:D14)</f>
        <v>6</v>
      </c>
      <c r="E15" s="14" t="n">
        <f aca="false">SUM(E5:E14)</f>
        <v>33</v>
      </c>
      <c r="F15" s="14" t="n">
        <f aca="false">SUM(F5:F14)</f>
        <v>28</v>
      </c>
      <c r="G15" s="14" t="n">
        <f aca="false">SUM(G5:G14)</f>
        <v>6</v>
      </c>
      <c r="H15" s="14" t="n">
        <f aca="false">SUM(H5:H14)</f>
        <v>135</v>
      </c>
    </row>
    <row r="17" customFormat="false" ht="15" hidden="false" customHeight="false" outlineLevel="0" collapsed="false">
      <c r="A17" s="17" t="s">
        <v>222</v>
      </c>
    </row>
    <row r="18" customFormat="false" ht="15" hidden="false" customHeight="false" outlineLevel="0" collapsed="false">
      <c r="A18" s="4" t="s">
        <v>3</v>
      </c>
      <c r="B18" s="3" t="s">
        <v>212</v>
      </c>
      <c r="C18" s="3" t="s">
        <v>213</v>
      </c>
      <c r="D18" s="3" t="s">
        <v>214</v>
      </c>
      <c r="E18" s="3" t="s">
        <v>215</v>
      </c>
      <c r="F18" s="3" t="s">
        <v>216</v>
      </c>
      <c r="G18" s="3" t="s">
        <v>217</v>
      </c>
      <c r="H18" s="4" t="s">
        <v>218</v>
      </c>
    </row>
    <row r="19" customFormat="false" ht="15" hidden="false" customHeight="false" outlineLevel="0" collapsed="false">
      <c r="A19" s="13" t="s">
        <v>23</v>
      </c>
      <c r="B19" s="11" t="n">
        <f aca="false">IF(B$15=0,"",B5/B$15)</f>
        <v>0.566666666666667</v>
      </c>
      <c r="C19" s="11" t="n">
        <f aca="false">IF(C$15=0,"",C5/C$15)</f>
        <v>0.53125</v>
      </c>
      <c r="D19" s="11" t="n">
        <f aca="false">IF(D$15=0,"",D5/D$15)</f>
        <v>0.666666666666667</v>
      </c>
      <c r="E19" s="11" t="n">
        <f aca="false">IF(E$15=0,"",E5/E$15)</f>
        <v>0.393939393939394</v>
      </c>
      <c r="F19" s="11" t="n">
        <f aca="false">IF(F$15=0,"",F5/F$15)</f>
        <v>0.25</v>
      </c>
      <c r="G19" s="11" t="n">
        <f aca="false">IF(G$15=0,"",G5/G$15)</f>
        <v>0.5</v>
      </c>
      <c r="H19" s="11" t="n">
        <f aca="false">IF(H$15=0,"",H5/H$15)</f>
        <v>0.451851851851852</v>
      </c>
    </row>
    <row r="20" customFormat="false" ht="15" hidden="false" customHeight="false" outlineLevel="0" collapsed="false">
      <c r="A20" s="13" t="s">
        <v>42</v>
      </c>
      <c r="B20" s="11" t="n">
        <f aca="false">IF(B$15=0,"",B6/B$15)</f>
        <v>0.0666666666666667</v>
      </c>
      <c r="C20" s="11" t="n">
        <f aca="false">IF(C$15=0,"",C6/C$15)</f>
        <v>0.09375</v>
      </c>
      <c r="D20" s="11" t="n">
        <f aca="false">IF(D$15=0,"",D6/D$15)</f>
        <v>0</v>
      </c>
      <c r="E20" s="11" t="n">
        <f aca="false">IF(E$15=0,"",E6/E$15)</f>
        <v>0.121212121212121</v>
      </c>
      <c r="F20" s="11" t="n">
        <f aca="false">IF(F$15=0,"",F6/F$15)</f>
        <v>0.357142857142857</v>
      </c>
      <c r="G20" s="11" t="n">
        <f aca="false">IF(G$15=0,"",G6/G$15)</f>
        <v>0.333333333333333</v>
      </c>
      <c r="H20" s="11" t="n">
        <f aca="false">IF(H$15=0,"",H6/H$15)</f>
        <v>0.155555555555556</v>
      </c>
    </row>
    <row r="21" customFormat="false" ht="15" hidden="false" customHeight="false" outlineLevel="0" collapsed="false">
      <c r="A21" s="15" t="s">
        <v>219</v>
      </c>
      <c r="B21" s="11" t="n">
        <f aca="false">IF(B$15=0,"",B7/B$15)</f>
        <v>0.166666666666667</v>
      </c>
      <c r="C21" s="11" t="n">
        <f aca="false">IF(C$15=0,"",C7/C$15)</f>
        <v>0.15625</v>
      </c>
      <c r="D21" s="11" t="n">
        <f aca="false">IF(D$15=0,"",D7/D$15)</f>
        <v>0</v>
      </c>
      <c r="E21" s="11" t="n">
        <f aca="false">IF(E$15=0,"",E7/E$15)</f>
        <v>0.121212121212121</v>
      </c>
      <c r="F21" s="11" t="n">
        <f aca="false">IF(F$15=0,"",F7/F$15)</f>
        <v>0.178571428571429</v>
      </c>
      <c r="G21" s="11" t="n">
        <f aca="false">IF(G$15=0,"",G7/G$15)</f>
        <v>0.166666666666667</v>
      </c>
      <c r="H21" s="11" t="n">
        <f aca="false">IF(H$15=0,"",H7/H$15)</f>
        <v>0.148148148148148</v>
      </c>
    </row>
    <row r="22" customFormat="false" ht="15" hidden="false" customHeight="false" outlineLevel="0" collapsed="false">
      <c r="A22" s="13" t="s">
        <v>26</v>
      </c>
      <c r="B22" s="11" t="n">
        <f aca="false">IF(B$15=0,"",B8/B$15)</f>
        <v>0.133333333333333</v>
      </c>
      <c r="C22" s="11" t="n">
        <f aca="false">IF(C$15=0,"",C8/C$15)</f>
        <v>0.09375</v>
      </c>
      <c r="D22" s="11" t="n">
        <f aca="false">IF(D$15=0,"",D8/D$15)</f>
        <v>0.166666666666667</v>
      </c>
      <c r="E22" s="11" t="n">
        <f aca="false">IF(E$15=0,"",E8/E$15)</f>
        <v>0.0909090909090909</v>
      </c>
      <c r="F22" s="11" t="n">
        <f aca="false">IF(F$15=0,"",F8/F$15)</f>
        <v>0.107142857142857</v>
      </c>
      <c r="G22" s="11" t="n">
        <f aca="false">IF(G$15=0,"",G8/G$15)</f>
        <v>0</v>
      </c>
      <c r="H22" s="11" t="n">
        <f aca="false">IF(H$15=0,"",H8/H$15)</f>
        <v>0.103703703703704</v>
      </c>
    </row>
    <row r="23" customFormat="false" ht="15" hidden="false" customHeight="false" outlineLevel="0" collapsed="false">
      <c r="A23" s="13" t="s">
        <v>50</v>
      </c>
      <c r="B23" s="11" t="n">
        <f aca="false">IF(B$15=0,"",B9/B$15)</f>
        <v>0.0666666666666667</v>
      </c>
      <c r="C23" s="11" t="n">
        <f aca="false">IF(C$15=0,"",C9/C$15)</f>
        <v>0.03125</v>
      </c>
      <c r="D23" s="11" t="n">
        <f aca="false">IF(D$15=0,"",D9/D$15)</f>
        <v>0</v>
      </c>
      <c r="E23" s="11" t="n">
        <f aca="false">IF(E$15=0,"",E9/E$15)</f>
        <v>0.0909090909090909</v>
      </c>
      <c r="F23" s="11" t="n">
        <f aca="false">IF(F$15=0,"",F9/F$15)</f>
        <v>0</v>
      </c>
      <c r="G23" s="11" t="n">
        <f aca="false">IF(G$15=0,"",G9/G$15)</f>
        <v>0</v>
      </c>
      <c r="H23" s="11" t="n">
        <f aca="false">IF(H$15=0,"",H9/H$15)</f>
        <v>0.0444444444444444</v>
      </c>
    </row>
    <row r="24" customFormat="false" ht="15" hidden="false" customHeight="false" outlineLevel="0" collapsed="false">
      <c r="A24" s="13" t="s">
        <v>93</v>
      </c>
      <c r="B24" s="11" t="n">
        <f aca="false">IF(B$15=0,"",B10/B$15)</f>
        <v>0</v>
      </c>
      <c r="C24" s="11" t="n">
        <f aca="false">IF(C$15=0,"",C10/C$15)</f>
        <v>0</v>
      </c>
      <c r="D24" s="11" t="n">
        <f aca="false">IF(D$15=0,"",D10/D$15)</f>
        <v>0.166666666666667</v>
      </c>
      <c r="E24" s="11" t="n">
        <f aca="false">IF(E$15=0,"",E10/E$15)</f>
        <v>0.0909090909090909</v>
      </c>
      <c r="F24" s="11" t="n">
        <f aca="false">IF(F$15=0,"",F10/F$15)</f>
        <v>0.0357142857142857</v>
      </c>
      <c r="G24" s="11" t="n">
        <f aca="false">IF(G$15=0,"",G10/G$15)</f>
        <v>0</v>
      </c>
      <c r="H24" s="11" t="n">
        <f aca="false">IF(H$15=0,"",H10/H$15)</f>
        <v>0.037037037037037</v>
      </c>
    </row>
    <row r="25" customFormat="false" ht="15" hidden="false" customHeight="false" outlineLevel="0" collapsed="false">
      <c r="A25" s="13" t="s">
        <v>69</v>
      </c>
      <c r="B25" s="11" t="n">
        <f aca="false">IF(B$15=0,"",B11/B$15)</f>
        <v>0</v>
      </c>
      <c r="C25" s="11" t="n">
        <f aca="false">IF(C$15=0,"",C11/C$15)</f>
        <v>0.0625</v>
      </c>
      <c r="D25" s="11" t="n">
        <f aca="false">IF(D$15=0,"",D11/D$15)</f>
        <v>0</v>
      </c>
      <c r="E25" s="11" t="n">
        <f aca="false">IF(E$15=0,"",E11/E$15)</f>
        <v>0.0303030303030303</v>
      </c>
      <c r="F25" s="11" t="n">
        <f aca="false">IF(F$15=0,"",F11/F$15)</f>
        <v>0.0357142857142857</v>
      </c>
      <c r="G25" s="11" t="n">
        <f aca="false">IF(G$15=0,"",G11/G$15)</f>
        <v>0</v>
      </c>
      <c r="H25" s="11" t="n">
        <f aca="false">IF(H$15=0,"",H11/H$15)</f>
        <v>0.0296296296296296</v>
      </c>
    </row>
    <row r="26" customFormat="false" ht="15" hidden="false" customHeight="false" outlineLevel="0" collapsed="false">
      <c r="A26" s="15" t="s">
        <v>220</v>
      </c>
      <c r="B26" s="11" t="n">
        <f aca="false">IF(B$15=0,"",B12/B$15)</f>
        <v>0</v>
      </c>
      <c r="C26" s="11" t="n">
        <f aca="false">IF(C$15=0,"",C12/C$15)</f>
        <v>0.03125</v>
      </c>
      <c r="D26" s="11" t="n">
        <f aca="false">IF(D$15=0,"",D12/D$15)</f>
        <v>0</v>
      </c>
      <c r="E26" s="11" t="n">
        <f aca="false">IF(E$15=0,"",E12/E$15)</f>
        <v>0.0303030303030303</v>
      </c>
      <c r="F26" s="11" t="n">
        <f aca="false">IF(F$15=0,"",F12/F$15)</f>
        <v>0</v>
      </c>
      <c r="G26" s="11" t="n">
        <f aca="false">IF(G$15=0,"",G12/G$15)</f>
        <v>0</v>
      </c>
      <c r="H26" s="11" t="n">
        <f aca="false">IF(H$15=0,"",H12/H$15)</f>
        <v>0.0148148148148148</v>
      </c>
    </row>
    <row r="27" customFormat="false" ht="15" hidden="false" customHeight="false" outlineLevel="0" collapsed="false">
      <c r="A27" s="15" t="s">
        <v>122</v>
      </c>
      <c r="B27" s="11" t="n">
        <f aca="false">IF(B$15=0,"",B13/B$15)</f>
        <v>0</v>
      </c>
      <c r="C27" s="11" t="n">
        <f aca="false">IF(C$15=0,"",C13/C$15)</f>
        <v>0</v>
      </c>
      <c r="D27" s="11" t="n">
        <f aca="false">IF(D$15=0,"",D13/D$15)</f>
        <v>0</v>
      </c>
      <c r="E27" s="11" t="n">
        <f aca="false">IF(E$15=0,"",E13/E$15)</f>
        <v>0.0303030303030303</v>
      </c>
      <c r="F27" s="11" t="n">
        <f aca="false">IF(F$15=0,"",F13/F$15)</f>
        <v>0</v>
      </c>
      <c r="G27" s="11" t="n">
        <f aca="false">IF(G$15=0,"",G13/G$15)</f>
        <v>0</v>
      </c>
      <c r="H27" s="11" t="n">
        <f aca="false">IF(H$15=0,"",H13/H$15)</f>
        <v>0.00740740740740741</v>
      </c>
    </row>
    <row r="28" customFormat="false" ht="15" hidden="false" customHeight="false" outlineLevel="0" collapsed="false">
      <c r="A28" s="13" t="s">
        <v>221</v>
      </c>
      <c r="B28" s="11" t="n">
        <f aca="false">IF(B$15=0,"",B14/B$15)</f>
        <v>0</v>
      </c>
      <c r="C28" s="11" t="n">
        <f aca="false">IF(C$15=0,"",C14/C$15)</f>
        <v>0</v>
      </c>
      <c r="D28" s="11" t="n">
        <f aca="false">IF(D$15=0,"",D14/D$15)</f>
        <v>0</v>
      </c>
      <c r="E28" s="11" t="n">
        <f aca="false">IF(E$15=0,"",E14/E$15)</f>
        <v>0</v>
      </c>
      <c r="F28" s="11" t="n">
        <f aca="false">IF(F$15=0,"",F14/F$15)</f>
        <v>0.0357142857142857</v>
      </c>
      <c r="G28" s="11" t="n">
        <f aca="false">IF(G$15=0,"",G14/G$15)</f>
        <v>0</v>
      </c>
      <c r="H28" s="11" t="n">
        <f aca="false">IF(H$15=0,"",H14/H$15)</f>
        <v>0.00740740740740741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tr">
        <f aca="false">" 集計対象："&amp;設定!B4&amp;"／粗利・粗利率は仕入原価入力済の物件のみ"</f>
        <v> 集計対象：全て／粗利・粗利率は仕入原価入力済の物件のみ</v>
      </c>
    </row>
    <row r="4" customFormat="false" ht="15" hidden="false" customHeight="false" outlineLevel="0" collapsed="false">
      <c r="A4" s="18" t="s">
        <v>224</v>
      </c>
    </row>
    <row r="5" customFormat="false" ht="15" hidden="false" customHeight="false" outlineLevel="0" collapsed="false">
      <c r="A5" s="4" t="s">
        <v>3</v>
      </c>
      <c r="B5" s="3" t="s">
        <v>212</v>
      </c>
      <c r="C5" s="3" t="s">
        <v>213</v>
      </c>
      <c r="D5" s="3" t="s">
        <v>214</v>
      </c>
      <c r="E5" s="3" t="s">
        <v>215</v>
      </c>
      <c r="F5" s="3" t="s">
        <v>216</v>
      </c>
      <c r="G5" s="3" t="s">
        <v>217</v>
      </c>
      <c r="H5" s="4" t="s">
        <v>218</v>
      </c>
    </row>
    <row r="6" customFormat="false" ht="15" hidden="false" customHeight="false" outlineLevel="0" collapsed="false">
      <c r="A6" s="13" t="s">
        <v>23</v>
      </c>
      <c r="B6" s="10" t="n">
        <f aca="false">COUNTIFS(物件データ!$L$5:$L$180,1,物件データ!$B$5:$B$180,$A6,物件データ!$J$5:$J$180,B$5)</f>
        <v>17</v>
      </c>
      <c r="C6" s="10" t="n">
        <f aca="false">COUNTIFS(物件データ!$L$5:$L$180,1,物件データ!$B$5:$B$180,$A6,物件データ!$J$5:$J$180,C$5)</f>
        <v>17</v>
      </c>
      <c r="D6" s="10" t="n">
        <f aca="false">COUNTIFS(物件データ!$L$5:$L$180,1,物件データ!$B$5:$B$180,$A6,物件データ!$J$5:$J$180,D$5)</f>
        <v>4</v>
      </c>
      <c r="E6" s="10" t="n">
        <f aca="false">COUNTIFS(物件データ!$L$5:$L$180,1,物件データ!$B$5:$B$180,$A6,物件データ!$J$5:$J$180,E$5)</f>
        <v>13</v>
      </c>
      <c r="F6" s="10" t="n">
        <f aca="false">COUNTIFS(物件データ!$L$5:$L$180,1,物件データ!$B$5:$B$180,$A6,物件データ!$J$5:$J$180,F$5)</f>
        <v>7</v>
      </c>
      <c r="G6" s="10" t="n">
        <f aca="false">COUNTIFS(物件データ!$L$5:$L$180,1,物件データ!$B$5:$B$180,$A6,物件データ!$J$5:$J$180,G$5)</f>
        <v>3</v>
      </c>
      <c r="H6" s="14" t="n">
        <f aca="false">COUNTIFS(物件データ!$L$5:$L$180,1,物件データ!$B$5:$B$180,$A6,物件データ!$J$5:$J$180,"?*")</f>
        <v>61</v>
      </c>
    </row>
    <row r="7" customFormat="false" ht="15" hidden="false" customHeight="false" outlineLevel="0" collapsed="false">
      <c r="A7" s="13" t="s">
        <v>42</v>
      </c>
      <c r="B7" s="10" t="n">
        <f aca="false">COUNTIFS(物件データ!$L$5:$L$180,1,物件データ!$B$5:$B$180,$A7,物件データ!$J$5:$J$180,B$5)</f>
        <v>2</v>
      </c>
      <c r="C7" s="10" t="n">
        <f aca="false">COUNTIFS(物件データ!$L$5:$L$180,1,物件データ!$B$5:$B$180,$A7,物件データ!$J$5:$J$180,C$5)</f>
        <v>3</v>
      </c>
      <c r="D7" s="10" t="n">
        <f aca="false">COUNTIFS(物件データ!$L$5:$L$180,1,物件データ!$B$5:$B$180,$A7,物件データ!$J$5:$J$180,D$5)</f>
        <v>0</v>
      </c>
      <c r="E7" s="10" t="n">
        <f aca="false">COUNTIFS(物件データ!$L$5:$L$180,1,物件データ!$B$5:$B$180,$A7,物件データ!$J$5:$J$180,E$5)</f>
        <v>4</v>
      </c>
      <c r="F7" s="10" t="n">
        <f aca="false">COUNTIFS(物件データ!$L$5:$L$180,1,物件データ!$B$5:$B$180,$A7,物件データ!$J$5:$J$180,F$5)</f>
        <v>10</v>
      </c>
      <c r="G7" s="10" t="n">
        <f aca="false">COUNTIFS(物件データ!$L$5:$L$180,1,物件データ!$B$5:$B$180,$A7,物件データ!$J$5:$J$180,G$5)</f>
        <v>2</v>
      </c>
      <c r="H7" s="14" t="n">
        <f aca="false">COUNTIFS(物件データ!$L$5:$L$180,1,物件データ!$B$5:$B$180,$A7,物件データ!$J$5:$J$180,"?*")</f>
        <v>21</v>
      </c>
    </row>
    <row r="8" customFormat="false" ht="15" hidden="false" customHeight="false" outlineLevel="0" collapsed="false">
      <c r="A8" s="15" t="s">
        <v>219</v>
      </c>
      <c r="B8" s="10" t="n">
        <f aca="false">COUNTIFS(物件データ!$L$5:$L$180,1,物件データ!$B$5:$B$180,$A8,物件データ!$J$5:$J$180,B$5)</f>
        <v>5</v>
      </c>
      <c r="C8" s="10" t="n">
        <f aca="false">COUNTIFS(物件データ!$L$5:$L$180,1,物件データ!$B$5:$B$180,$A8,物件データ!$J$5:$J$180,C$5)</f>
        <v>5</v>
      </c>
      <c r="D8" s="10" t="n">
        <f aca="false">COUNTIFS(物件データ!$L$5:$L$180,1,物件データ!$B$5:$B$180,$A8,物件データ!$J$5:$J$180,D$5)</f>
        <v>0</v>
      </c>
      <c r="E8" s="10" t="n">
        <f aca="false">COUNTIFS(物件データ!$L$5:$L$180,1,物件データ!$B$5:$B$180,$A8,物件データ!$J$5:$J$180,E$5)</f>
        <v>4</v>
      </c>
      <c r="F8" s="10" t="n">
        <f aca="false">COUNTIFS(物件データ!$L$5:$L$180,1,物件データ!$B$5:$B$180,$A8,物件データ!$J$5:$J$180,F$5)</f>
        <v>5</v>
      </c>
      <c r="G8" s="10" t="n">
        <f aca="false">COUNTIFS(物件データ!$L$5:$L$180,1,物件データ!$B$5:$B$180,$A8,物件データ!$J$5:$J$180,G$5)</f>
        <v>1</v>
      </c>
      <c r="H8" s="14" t="n">
        <f aca="false">COUNTIFS(物件データ!$L$5:$L$180,1,物件データ!$B$5:$B$180,$A8,物件データ!$J$5:$J$180,"?*")</f>
        <v>20</v>
      </c>
    </row>
    <row r="9" customFormat="false" ht="15" hidden="false" customHeight="false" outlineLevel="0" collapsed="false">
      <c r="A9" s="13" t="s">
        <v>26</v>
      </c>
      <c r="B9" s="10" t="n">
        <f aca="false">COUNTIFS(物件データ!$L$5:$L$180,1,物件データ!$B$5:$B$180,$A9,物件データ!$J$5:$J$180,B$5)</f>
        <v>4</v>
      </c>
      <c r="C9" s="10" t="n">
        <f aca="false">COUNTIFS(物件データ!$L$5:$L$180,1,物件データ!$B$5:$B$180,$A9,物件データ!$J$5:$J$180,C$5)</f>
        <v>3</v>
      </c>
      <c r="D9" s="10" t="n">
        <f aca="false">COUNTIFS(物件データ!$L$5:$L$180,1,物件データ!$B$5:$B$180,$A9,物件データ!$J$5:$J$180,D$5)</f>
        <v>1</v>
      </c>
      <c r="E9" s="10" t="n">
        <f aca="false">COUNTIFS(物件データ!$L$5:$L$180,1,物件データ!$B$5:$B$180,$A9,物件データ!$J$5:$J$180,E$5)</f>
        <v>3</v>
      </c>
      <c r="F9" s="10" t="n">
        <f aca="false">COUNTIFS(物件データ!$L$5:$L$180,1,物件データ!$B$5:$B$180,$A9,物件データ!$J$5:$J$180,F$5)</f>
        <v>3</v>
      </c>
      <c r="G9" s="10" t="n">
        <f aca="false">COUNTIFS(物件データ!$L$5:$L$180,1,物件データ!$B$5:$B$180,$A9,物件データ!$J$5:$J$180,G$5)</f>
        <v>0</v>
      </c>
      <c r="H9" s="14" t="n">
        <f aca="false">COUNTIFS(物件データ!$L$5:$L$180,1,物件データ!$B$5:$B$180,$A9,物件データ!$J$5:$J$180,"?*")</f>
        <v>14</v>
      </c>
    </row>
    <row r="10" customFormat="false" ht="15" hidden="false" customHeight="false" outlineLevel="0" collapsed="false">
      <c r="A10" s="13" t="s">
        <v>50</v>
      </c>
      <c r="B10" s="10" t="n">
        <f aca="false">COUNTIFS(物件データ!$L$5:$L$180,1,物件データ!$B$5:$B$180,$A10,物件データ!$J$5:$J$180,B$5)</f>
        <v>2</v>
      </c>
      <c r="C10" s="10" t="n">
        <f aca="false">COUNTIFS(物件データ!$L$5:$L$180,1,物件データ!$B$5:$B$180,$A10,物件データ!$J$5:$J$180,C$5)</f>
        <v>1</v>
      </c>
      <c r="D10" s="10" t="n">
        <f aca="false">COUNTIFS(物件データ!$L$5:$L$180,1,物件データ!$B$5:$B$180,$A10,物件データ!$J$5:$J$180,D$5)</f>
        <v>0</v>
      </c>
      <c r="E10" s="10" t="n">
        <f aca="false">COUNTIFS(物件データ!$L$5:$L$180,1,物件データ!$B$5:$B$180,$A10,物件データ!$J$5:$J$180,E$5)</f>
        <v>3</v>
      </c>
      <c r="F10" s="10" t="n">
        <f aca="false">COUNTIFS(物件データ!$L$5:$L$180,1,物件データ!$B$5:$B$180,$A10,物件データ!$J$5:$J$180,F$5)</f>
        <v>0</v>
      </c>
      <c r="G10" s="10" t="n">
        <f aca="false">COUNTIFS(物件データ!$L$5:$L$180,1,物件データ!$B$5:$B$180,$A10,物件データ!$J$5:$J$180,G$5)</f>
        <v>0</v>
      </c>
      <c r="H10" s="14" t="n">
        <f aca="false">COUNTIFS(物件データ!$L$5:$L$180,1,物件データ!$B$5:$B$180,$A10,物件データ!$J$5:$J$180,"?*")</f>
        <v>6</v>
      </c>
    </row>
    <row r="11" customFormat="false" ht="15" hidden="false" customHeight="false" outlineLevel="0" collapsed="false">
      <c r="A11" s="13" t="s">
        <v>93</v>
      </c>
      <c r="B11" s="10" t="n">
        <f aca="false">COUNTIFS(物件データ!$L$5:$L$180,1,物件データ!$B$5:$B$180,$A11,物件データ!$J$5:$J$180,B$5)</f>
        <v>0</v>
      </c>
      <c r="C11" s="10" t="n">
        <f aca="false">COUNTIFS(物件データ!$L$5:$L$180,1,物件データ!$B$5:$B$180,$A11,物件データ!$J$5:$J$180,C$5)</f>
        <v>0</v>
      </c>
      <c r="D11" s="10" t="n">
        <f aca="false">COUNTIFS(物件データ!$L$5:$L$180,1,物件データ!$B$5:$B$180,$A11,物件データ!$J$5:$J$180,D$5)</f>
        <v>1</v>
      </c>
      <c r="E11" s="10" t="n">
        <f aca="false">COUNTIFS(物件データ!$L$5:$L$180,1,物件データ!$B$5:$B$180,$A11,物件データ!$J$5:$J$180,E$5)</f>
        <v>3</v>
      </c>
      <c r="F11" s="10" t="n">
        <f aca="false">COUNTIFS(物件データ!$L$5:$L$180,1,物件データ!$B$5:$B$180,$A11,物件データ!$J$5:$J$180,F$5)</f>
        <v>1</v>
      </c>
      <c r="G11" s="10" t="n">
        <f aca="false">COUNTIFS(物件データ!$L$5:$L$180,1,物件データ!$B$5:$B$180,$A11,物件データ!$J$5:$J$180,G$5)</f>
        <v>0</v>
      </c>
      <c r="H11" s="14" t="n">
        <f aca="false">COUNTIFS(物件データ!$L$5:$L$180,1,物件データ!$B$5:$B$180,$A11,物件データ!$J$5:$J$180,"?*")</f>
        <v>5</v>
      </c>
    </row>
    <row r="12" customFormat="false" ht="15" hidden="false" customHeight="false" outlineLevel="0" collapsed="false">
      <c r="A12" s="13" t="s">
        <v>69</v>
      </c>
      <c r="B12" s="10" t="n">
        <f aca="false">COUNTIFS(物件データ!$L$5:$L$180,1,物件データ!$B$5:$B$180,$A12,物件データ!$J$5:$J$180,B$5)</f>
        <v>0</v>
      </c>
      <c r="C12" s="10" t="n">
        <f aca="false">COUNTIFS(物件データ!$L$5:$L$180,1,物件データ!$B$5:$B$180,$A12,物件データ!$J$5:$J$180,C$5)</f>
        <v>2</v>
      </c>
      <c r="D12" s="10" t="n">
        <f aca="false">COUNTIFS(物件データ!$L$5:$L$180,1,物件データ!$B$5:$B$180,$A12,物件データ!$J$5:$J$180,D$5)</f>
        <v>0</v>
      </c>
      <c r="E12" s="10" t="n">
        <f aca="false">COUNTIFS(物件データ!$L$5:$L$180,1,物件データ!$B$5:$B$180,$A12,物件データ!$J$5:$J$180,E$5)</f>
        <v>1</v>
      </c>
      <c r="F12" s="10" t="n">
        <f aca="false">COUNTIFS(物件データ!$L$5:$L$180,1,物件データ!$B$5:$B$180,$A12,物件データ!$J$5:$J$180,F$5)</f>
        <v>1</v>
      </c>
      <c r="G12" s="10" t="n">
        <f aca="false">COUNTIFS(物件データ!$L$5:$L$180,1,物件データ!$B$5:$B$180,$A12,物件データ!$J$5:$J$180,G$5)</f>
        <v>0</v>
      </c>
      <c r="H12" s="14" t="n">
        <f aca="false">COUNTIFS(物件データ!$L$5:$L$180,1,物件データ!$B$5:$B$180,$A12,物件データ!$J$5:$J$180,"?*")</f>
        <v>4</v>
      </c>
    </row>
    <row r="13" customFormat="false" ht="15" hidden="false" customHeight="false" outlineLevel="0" collapsed="false">
      <c r="A13" s="15" t="s">
        <v>220</v>
      </c>
      <c r="B13" s="10" t="n">
        <f aca="false">COUNTIFS(物件データ!$L$5:$L$180,1,物件データ!$B$5:$B$180,$A13,物件データ!$J$5:$J$180,B$5)</f>
        <v>0</v>
      </c>
      <c r="C13" s="10" t="n">
        <f aca="false">COUNTIFS(物件データ!$L$5:$L$180,1,物件データ!$B$5:$B$180,$A13,物件データ!$J$5:$J$180,C$5)</f>
        <v>1</v>
      </c>
      <c r="D13" s="10" t="n">
        <f aca="false">COUNTIFS(物件データ!$L$5:$L$180,1,物件データ!$B$5:$B$180,$A13,物件データ!$J$5:$J$180,D$5)</f>
        <v>0</v>
      </c>
      <c r="E13" s="10" t="n">
        <f aca="false">COUNTIFS(物件データ!$L$5:$L$180,1,物件データ!$B$5:$B$180,$A13,物件データ!$J$5:$J$180,E$5)</f>
        <v>1</v>
      </c>
      <c r="F13" s="10" t="n">
        <f aca="false">COUNTIFS(物件データ!$L$5:$L$180,1,物件データ!$B$5:$B$180,$A13,物件データ!$J$5:$J$180,F$5)</f>
        <v>0</v>
      </c>
      <c r="G13" s="10" t="n">
        <f aca="false">COUNTIFS(物件データ!$L$5:$L$180,1,物件データ!$B$5:$B$180,$A13,物件データ!$J$5:$J$180,G$5)</f>
        <v>0</v>
      </c>
      <c r="H13" s="14" t="n">
        <f aca="false">COUNTIFS(物件データ!$L$5:$L$180,1,物件データ!$B$5:$B$180,$A13,物件データ!$J$5:$J$180,"?*")</f>
        <v>2</v>
      </c>
    </row>
    <row r="14" customFormat="false" ht="15" hidden="false" customHeight="false" outlineLevel="0" collapsed="false">
      <c r="A14" s="15" t="s">
        <v>122</v>
      </c>
      <c r="B14" s="10" t="n">
        <f aca="false">COUNTIFS(物件データ!$L$5:$L$180,1,物件データ!$B$5:$B$180,$A14,物件データ!$J$5:$J$180,B$5)</f>
        <v>0</v>
      </c>
      <c r="C14" s="10" t="n">
        <f aca="false">COUNTIFS(物件データ!$L$5:$L$180,1,物件データ!$B$5:$B$180,$A14,物件データ!$J$5:$J$180,C$5)</f>
        <v>0</v>
      </c>
      <c r="D14" s="10" t="n">
        <f aca="false">COUNTIFS(物件データ!$L$5:$L$180,1,物件データ!$B$5:$B$180,$A14,物件データ!$J$5:$J$180,D$5)</f>
        <v>0</v>
      </c>
      <c r="E14" s="10" t="n">
        <f aca="false">COUNTIFS(物件データ!$L$5:$L$180,1,物件データ!$B$5:$B$180,$A14,物件データ!$J$5:$J$180,E$5)</f>
        <v>1</v>
      </c>
      <c r="F14" s="10" t="n">
        <f aca="false">COUNTIFS(物件データ!$L$5:$L$180,1,物件データ!$B$5:$B$180,$A14,物件データ!$J$5:$J$180,F$5)</f>
        <v>0</v>
      </c>
      <c r="G14" s="10" t="n">
        <f aca="false">COUNTIFS(物件データ!$L$5:$L$180,1,物件データ!$B$5:$B$180,$A14,物件データ!$J$5:$J$180,G$5)</f>
        <v>0</v>
      </c>
      <c r="H14" s="14" t="n">
        <f aca="false">COUNTIFS(物件データ!$L$5:$L$180,1,物件データ!$B$5:$B$180,$A14,物件データ!$J$5:$J$180,"?*")</f>
        <v>1</v>
      </c>
    </row>
    <row r="15" customFormat="false" ht="15" hidden="false" customHeight="false" outlineLevel="0" collapsed="false">
      <c r="A15" s="13" t="s">
        <v>221</v>
      </c>
      <c r="B15" s="10" t="n">
        <f aca="false">COUNTIFS(物件データ!$L$5:$L$180,1,物件データ!$B$5:$B$180,$A15,物件データ!$J$5:$J$180,B$5)</f>
        <v>0</v>
      </c>
      <c r="C15" s="10" t="n">
        <f aca="false">COUNTIFS(物件データ!$L$5:$L$180,1,物件データ!$B$5:$B$180,$A15,物件データ!$J$5:$J$180,C$5)</f>
        <v>0</v>
      </c>
      <c r="D15" s="10" t="n">
        <f aca="false">COUNTIFS(物件データ!$L$5:$L$180,1,物件データ!$B$5:$B$180,$A15,物件データ!$J$5:$J$180,D$5)</f>
        <v>0</v>
      </c>
      <c r="E15" s="10" t="n">
        <f aca="false">COUNTIFS(物件データ!$L$5:$L$180,1,物件データ!$B$5:$B$180,$A15,物件データ!$J$5:$J$180,E$5)</f>
        <v>0</v>
      </c>
      <c r="F15" s="10" t="n">
        <f aca="false">COUNTIFS(物件データ!$L$5:$L$180,1,物件データ!$B$5:$B$180,$A15,物件データ!$J$5:$J$180,F$5)</f>
        <v>1</v>
      </c>
      <c r="G15" s="10" t="n">
        <f aca="false">COUNTIFS(物件データ!$L$5:$L$180,1,物件データ!$B$5:$B$180,$A15,物件データ!$J$5:$J$180,G$5)</f>
        <v>0</v>
      </c>
      <c r="H15" s="14" t="n">
        <f aca="false">COUNTIFS(物件データ!$L$5:$L$180,1,物件データ!$B$5:$B$180,$A15,物件データ!$J$5:$J$180,"?*")</f>
        <v>1</v>
      </c>
    </row>
    <row r="16" customFormat="false" ht="15" hidden="false" customHeight="false" outlineLevel="0" collapsed="false">
      <c r="A16" s="16" t="s">
        <v>218</v>
      </c>
      <c r="B16" s="14" t="n">
        <f aca="false">SUM(B6:B15)</f>
        <v>30</v>
      </c>
      <c r="C16" s="14" t="n">
        <f aca="false">SUM(C6:C15)</f>
        <v>32</v>
      </c>
      <c r="D16" s="14" t="n">
        <f aca="false">SUM(D6:D15)</f>
        <v>6</v>
      </c>
      <c r="E16" s="14" t="n">
        <f aca="false">SUM(E6:E15)</f>
        <v>33</v>
      </c>
      <c r="F16" s="14" t="n">
        <f aca="false">SUM(F6:F15)</f>
        <v>28</v>
      </c>
      <c r="G16" s="14" t="n">
        <f aca="false">SUM(G6:G15)</f>
        <v>6</v>
      </c>
      <c r="H16" s="14" t="n">
        <f aca="false">SUM(H6:H15)</f>
        <v>135</v>
      </c>
    </row>
    <row r="18" customFormat="false" ht="15" hidden="false" customHeight="false" outlineLevel="0" collapsed="false">
      <c r="A18" s="18" t="s">
        <v>225</v>
      </c>
    </row>
    <row r="19" customFormat="false" ht="15" hidden="false" customHeight="false" outlineLevel="0" collapsed="false">
      <c r="A19" s="4" t="s">
        <v>3</v>
      </c>
      <c r="B19" s="3" t="s">
        <v>212</v>
      </c>
      <c r="C19" s="3" t="s">
        <v>213</v>
      </c>
      <c r="D19" s="3" t="s">
        <v>214</v>
      </c>
      <c r="E19" s="3" t="s">
        <v>215</v>
      </c>
      <c r="F19" s="3" t="s">
        <v>216</v>
      </c>
      <c r="G19" s="3" t="s">
        <v>217</v>
      </c>
      <c r="H19" s="4" t="s">
        <v>218</v>
      </c>
    </row>
    <row r="20" customFormat="false" ht="15" hidden="false" customHeight="false" outlineLevel="0" collapsed="false">
      <c r="A20" s="13" t="s">
        <v>23</v>
      </c>
      <c r="B20" s="10" t="n">
        <f aca="false">SUMIFS(物件データ!$G$5:$G$180,物件データ!$L$5:$L$180,1,物件データ!$B$5:$B$180,$A20,物件データ!$J$5:$J$180,B$19)</f>
        <v>958000000</v>
      </c>
      <c r="C20" s="10" t="n">
        <f aca="false">SUMIFS(物件データ!$G$5:$G$180,物件データ!$L$5:$L$180,1,物件データ!$B$5:$B$180,$A20,物件データ!$J$5:$J$180,C$19)</f>
        <v>1268600000</v>
      </c>
      <c r="D20" s="10" t="n">
        <f aca="false">SUMIFS(物件データ!$G$5:$G$180,物件データ!$L$5:$L$180,1,物件データ!$B$5:$B$180,$A20,物件データ!$J$5:$J$180,D$19)</f>
        <v>248500000</v>
      </c>
      <c r="E20" s="10" t="n">
        <f aca="false">SUMIFS(物件データ!$G$5:$G$180,物件データ!$L$5:$L$180,1,物件データ!$B$5:$B$180,$A20,物件データ!$J$5:$J$180,E$19)</f>
        <v>714500000</v>
      </c>
      <c r="F20" s="10" t="n">
        <f aca="false">SUMIFS(物件データ!$G$5:$G$180,物件データ!$L$5:$L$180,1,物件データ!$B$5:$B$180,$A20,物件データ!$J$5:$J$180,F$19)</f>
        <v>793500000</v>
      </c>
      <c r="G20" s="10" t="n">
        <f aca="false">SUMIFS(物件データ!$G$5:$G$180,物件データ!$L$5:$L$180,1,物件データ!$B$5:$B$180,$A20,物件データ!$J$5:$J$180,G$19)</f>
        <v>150300000</v>
      </c>
      <c r="H20" s="14" t="n">
        <f aca="false">SUMIFS(物件データ!$G$5:$G$180,物件データ!$L$5:$L$180,1,物件データ!$B$5:$B$180,$A20,物件データ!$J$5:$J$180,"?*")</f>
        <v>4133400000</v>
      </c>
    </row>
    <row r="21" customFormat="false" ht="15" hidden="false" customHeight="false" outlineLevel="0" collapsed="false">
      <c r="A21" s="13" t="s">
        <v>42</v>
      </c>
      <c r="B21" s="10" t="n">
        <f aca="false">SUMIFS(物件データ!$G$5:$G$180,物件データ!$L$5:$L$180,1,物件データ!$B$5:$B$180,$A21,物件データ!$J$5:$J$180,B$19)</f>
        <v>219000000</v>
      </c>
      <c r="C21" s="10" t="n">
        <f aca="false">SUMIFS(物件データ!$G$5:$G$180,物件データ!$L$5:$L$180,1,物件データ!$B$5:$B$180,$A21,物件データ!$J$5:$J$180,C$19)</f>
        <v>529400000</v>
      </c>
      <c r="D21" s="10" t="n">
        <f aca="false">SUMIFS(物件データ!$G$5:$G$180,物件データ!$L$5:$L$180,1,物件データ!$B$5:$B$180,$A21,物件データ!$J$5:$J$180,D$19)</f>
        <v>0</v>
      </c>
      <c r="E21" s="10" t="n">
        <f aca="false">SUMIFS(物件データ!$G$5:$G$180,物件データ!$L$5:$L$180,1,物件データ!$B$5:$B$180,$A21,物件データ!$J$5:$J$180,E$19)</f>
        <v>260800000</v>
      </c>
      <c r="F21" s="10" t="n">
        <f aca="false">SUMIFS(物件データ!$G$5:$G$180,物件データ!$L$5:$L$180,1,物件データ!$B$5:$B$180,$A21,物件データ!$J$5:$J$180,F$19)</f>
        <v>1212000000</v>
      </c>
      <c r="G21" s="10" t="n">
        <f aca="false">SUMIFS(物件データ!$G$5:$G$180,物件データ!$L$5:$L$180,1,物件データ!$B$5:$B$180,$A21,物件データ!$J$5:$J$180,G$19)</f>
        <v>249800000</v>
      </c>
      <c r="H21" s="14" t="n">
        <f aca="false">SUMIFS(物件データ!$G$5:$G$180,物件データ!$L$5:$L$180,1,物件データ!$B$5:$B$180,$A21,物件データ!$J$5:$J$180,"?*")</f>
        <v>2471000000</v>
      </c>
    </row>
    <row r="22" customFormat="false" ht="15" hidden="false" customHeight="false" outlineLevel="0" collapsed="false">
      <c r="A22" s="15" t="s">
        <v>219</v>
      </c>
      <c r="B22" s="10" t="n">
        <f aca="false">SUMIFS(物件データ!$G$5:$G$180,物件データ!$L$5:$L$180,1,物件データ!$B$5:$B$180,$A22,物件データ!$J$5:$J$180,B$19)</f>
        <v>281600000</v>
      </c>
      <c r="C22" s="10" t="n">
        <f aca="false">SUMIFS(物件データ!$G$5:$G$180,物件データ!$L$5:$L$180,1,物件データ!$B$5:$B$180,$A22,物件データ!$J$5:$J$180,C$19)</f>
        <v>196850000</v>
      </c>
      <c r="D22" s="10" t="n">
        <f aca="false">SUMIFS(物件データ!$G$5:$G$180,物件データ!$L$5:$L$180,1,物件データ!$B$5:$B$180,$A22,物件データ!$J$5:$J$180,D$19)</f>
        <v>0</v>
      </c>
      <c r="E22" s="10" t="n">
        <f aca="false">SUMIFS(物件データ!$G$5:$G$180,物件データ!$L$5:$L$180,1,物件データ!$B$5:$B$180,$A22,物件データ!$J$5:$J$180,E$19)</f>
        <v>142800000</v>
      </c>
      <c r="F22" s="10" t="n">
        <f aca="false">SUMIFS(物件データ!$G$5:$G$180,物件データ!$L$5:$L$180,1,物件データ!$B$5:$B$180,$A22,物件データ!$J$5:$J$180,F$19)</f>
        <v>164000000</v>
      </c>
      <c r="G22" s="10" t="n">
        <f aca="false">SUMIFS(物件データ!$G$5:$G$180,物件データ!$L$5:$L$180,1,物件データ!$B$5:$B$180,$A22,物件データ!$J$5:$J$180,G$19)</f>
        <v>29800000</v>
      </c>
      <c r="H22" s="14" t="n">
        <f aca="false">SUMIFS(物件データ!$G$5:$G$180,物件データ!$L$5:$L$180,1,物件データ!$B$5:$B$180,$A22,物件データ!$J$5:$J$180,"?*")</f>
        <v>815050000</v>
      </c>
    </row>
    <row r="23" customFormat="false" ht="15" hidden="false" customHeight="false" outlineLevel="0" collapsed="false">
      <c r="A23" s="13" t="s">
        <v>26</v>
      </c>
      <c r="B23" s="10" t="n">
        <f aca="false">SUMIFS(物件データ!$G$5:$G$180,物件データ!$L$5:$L$180,1,物件データ!$B$5:$B$180,$A23,物件データ!$J$5:$J$180,B$19)</f>
        <v>303200000</v>
      </c>
      <c r="C23" s="10" t="n">
        <f aca="false">SUMIFS(物件データ!$G$5:$G$180,物件データ!$L$5:$L$180,1,物件データ!$B$5:$B$180,$A23,物件データ!$J$5:$J$180,C$19)</f>
        <v>162800000</v>
      </c>
      <c r="D23" s="10" t="n">
        <f aca="false">SUMIFS(物件データ!$G$5:$G$180,物件データ!$L$5:$L$180,1,物件データ!$B$5:$B$180,$A23,物件データ!$J$5:$J$180,D$19)</f>
        <v>74800000</v>
      </c>
      <c r="E23" s="10" t="n">
        <f aca="false">SUMIFS(物件データ!$G$5:$G$180,物件データ!$L$5:$L$180,1,物件データ!$B$5:$B$180,$A23,物件データ!$J$5:$J$180,E$19)</f>
        <v>139400000</v>
      </c>
      <c r="F23" s="10" t="n">
        <f aca="false">SUMIFS(物件データ!$G$5:$G$180,物件データ!$L$5:$L$180,1,物件データ!$B$5:$B$180,$A23,物件データ!$J$5:$J$180,F$19)</f>
        <v>310700000</v>
      </c>
      <c r="G23" s="10" t="n">
        <f aca="false">SUMIFS(物件データ!$G$5:$G$180,物件データ!$L$5:$L$180,1,物件データ!$B$5:$B$180,$A23,物件データ!$J$5:$J$180,G$19)</f>
        <v>0</v>
      </c>
      <c r="H23" s="14" t="n">
        <f aca="false">SUMIFS(物件データ!$G$5:$G$180,物件データ!$L$5:$L$180,1,物件データ!$B$5:$B$180,$A23,物件データ!$J$5:$J$180,"?*")</f>
        <v>990900000</v>
      </c>
    </row>
    <row r="24" customFormat="false" ht="15" hidden="false" customHeight="false" outlineLevel="0" collapsed="false">
      <c r="A24" s="13" t="s">
        <v>50</v>
      </c>
      <c r="B24" s="10" t="n">
        <f aca="false">SUMIFS(物件データ!$G$5:$G$180,物件データ!$L$5:$L$180,1,物件データ!$B$5:$B$180,$A24,物件データ!$J$5:$J$180,B$19)</f>
        <v>107700000</v>
      </c>
      <c r="C24" s="10" t="n">
        <f aca="false">SUMIFS(物件データ!$G$5:$G$180,物件データ!$L$5:$L$180,1,物件データ!$B$5:$B$180,$A24,物件データ!$J$5:$J$180,C$19)</f>
        <v>41500000</v>
      </c>
      <c r="D24" s="10" t="n">
        <f aca="false">SUMIFS(物件データ!$G$5:$G$180,物件データ!$L$5:$L$180,1,物件データ!$B$5:$B$180,$A24,物件データ!$J$5:$J$180,D$19)</f>
        <v>0</v>
      </c>
      <c r="E24" s="10" t="n">
        <f aca="false">SUMIFS(物件データ!$G$5:$G$180,物件データ!$L$5:$L$180,1,物件データ!$B$5:$B$180,$A24,物件データ!$J$5:$J$180,E$19)</f>
        <v>188400000</v>
      </c>
      <c r="F24" s="10" t="n">
        <f aca="false">SUMIFS(物件データ!$G$5:$G$180,物件データ!$L$5:$L$180,1,物件データ!$B$5:$B$180,$A24,物件データ!$J$5:$J$180,F$19)</f>
        <v>0</v>
      </c>
      <c r="G24" s="10" t="n">
        <f aca="false">SUMIFS(物件データ!$G$5:$G$180,物件データ!$L$5:$L$180,1,物件データ!$B$5:$B$180,$A24,物件データ!$J$5:$J$180,G$19)</f>
        <v>0</v>
      </c>
      <c r="H24" s="14" t="n">
        <f aca="false">SUMIFS(物件データ!$G$5:$G$180,物件データ!$L$5:$L$180,1,物件データ!$B$5:$B$180,$A24,物件データ!$J$5:$J$180,"?*")</f>
        <v>337600000</v>
      </c>
    </row>
    <row r="25" customFormat="false" ht="15" hidden="false" customHeight="false" outlineLevel="0" collapsed="false">
      <c r="A25" s="13" t="s">
        <v>93</v>
      </c>
      <c r="B25" s="10" t="n">
        <f aca="false">SUMIFS(物件データ!$G$5:$G$180,物件データ!$L$5:$L$180,1,物件データ!$B$5:$B$180,$A25,物件データ!$J$5:$J$180,B$19)</f>
        <v>0</v>
      </c>
      <c r="C25" s="10" t="n">
        <f aca="false">SUMIFS(物件データ!$G$5:$G$180,物件データ!$L$5:$L$180,1,物件データ!$B$5:$B$180,$A25,物件データ!$J$5:$J$180,C$19)</f>
        <v>0</v>
      </c>
      <c r="D25" s="10" t="n">
        <f aca="false">SUMIFS(物件データ!$G$5:$G$180,物件データ!$L$5:$L$180,1,物件データ!$B$5:$B$180,$A25,物件データ!$J$5:$J$180,D$19)</f>
        <v>99800000</v>
      </c>
      <c r="E25" s="10" t="n">
        <f aca="false">SUMIFS(物件データ!$G$5:$G$180,物件データ!$L$5:$L$180,1,物件データ!$B$5:$B$180,$A25,物件データ!$J$5:$J$180,E$19)</f>
        <v>127700000</v>
      </c>
      <c r="F25" s="10" t="n">
        <f aca="false">SUMIFS(物件データ!$G$5:$G$180,物件データ!$L$5:$L$180,1,物件データ!$B$5:$B$180,$A25,物件データ!$J$5:$J$180,F$19)</f>
        <v>128000000</v>
      </c>
      <c r="G25" s="10" t="n">
        <f aca="false">SUMIFS(物件データ!$G$5:$G$180,物件データ!$L$5:$L$180,1,物件データ!$B$5:$B$180,$A25,物件データ!$J$5:$J$180,G$19)</f>
        <v>0</v>
      </c>
      <c r="H25" s="14" t="n">
        <f aca="false">SUMIFS(物件データ!$G$5:$G$180,物件データ!$L$5:$L$180,1,物件データ!$B$5:$B$180,$A25,物件データ!$J$5:$J$180,"?*")</f>
        <v>355500000</v>
      </c>
    </row>
    <row r="26" customFormat="false" ht="15" hidden="false" customHeight="false" outlineLevel="0" collapsed="false">
      <c r="A26" s="13" t="s">
        <v>69</v>
      </c>
      <c r="B26" s="10" t="n">
        <f aca="false">SUMIFS(物件データ!$G$5:$G$180,物件データ!$L$5:$L$180,1,物件データ!$B$5:$B$180,$A26,物件データ!$J$5:$J$180,B$19)</f>
        <v>0</v>
      </c>
      <c r="C26" s="10" t="n">
        <f aca="false">SUMIFS(物件データ!$G$5:$G$180,物件データ!$L$5:$L$180,1,物件データ!$B$5:$B$180,$A26,物件データ!$J$5:$J$180,C$19)</f>
        <v>173500000</v>
      </c>
      <c r="D26" s="10" t="n">
        <f aca="false">SUMIFS(物件データ!$G$5:$G$180,物件データ!$L$5:$L$180,1,物件データ!$B$5:$B$180,$A26,物件データ!$J$5:$J$180,D$19)</f>
        <v>0</v>
      </c>
      <c r="E26" s="10" t="n">
        <f aca="false">SUMIFS(物件データ!$G$5:$G$180,物件データ!$L$5:$L$180,1,物件データ!$B$5:$B$180,$A26,物件データ!$J$5:$J$180,E$19)</f>
        <v>110000000</v>
      </c>
      <c r="F26" s="10" t="n">
        <f aca="false">SUMIFS(物件データ!$G$5:$G$180,物件データ!$L$5:$L$180,1,物件データ!$B$5:$B$180,$A26,物件データ!$J$5:$J$180,F$19)</f>
        <v>230000000</v>
      </c>
      <c r="G26" s="10" t="n">
        <f aca="false">SUMIFS(物件データ!$G$5:$G$180,物件データ!$L$5:$L$180,1,物件データ!$B$5:$B$180,$A26,物件データ!$J$5:$J$180,G$19)</f>
        <v>0</v>
      </c>
      <c r="H26" s="14" t="n">
        <f aca="false">SUMIFS(物件データ!$G$5:$G$180,物件データ!$L$5:$L$180,1,物件データ!$B$5:$B$180,$A26,物件データ!$J$5:$J$180,"?*")</f>
        <v>513500000</v>
      </c>
    </row>
    <row r="27" customFormat="false" ht="15" hidden="false" customHeight="false" outlineLevel="0" collapsed="false">
      <c r="A27" s="15" t="s">
        <v>220</v>
      </c>
      <c r="B27" s="10" t="n">
        <f aca="false">SUMIFS(物件データ!$G$5:$G$180,物件データ!$L$5:$L$180,1,物件データ!$B$5:$B$180,$A27,物件データ!$J$5:$J$180,B$19)</f>
        <v>0</v>
      </c>
      <c r="C27" s="10" t="n">
        <f aca="false">SUMIFS(物件データ!$G$5:$G$180,物件データ!$L$5:$L$180,1,物件データ!$B$5:$B$180,$A27,物件データ!$J$5:$J$180,C$19)</f>
        <v>39000000</v>
      </c>
      <c r="D27" s="10" t="n">
        <f aca="false">SUMIFS(物件データ!$G$5:$G$180,物件データ!$L$5:$L$180,1,物件データ!$B$5:$B$180,$A27,物件データ!$J$5:$J$180,D$19)</f>
        <v>0</v>
      </c>
      <c r="E27" s="10" t="n">
        <f aca="false">SUMIFS(物件データ!$G$5:$G$180,物件データ!$L$5:$L$180,1,物件データ!$B$5:$B$180,$A27,物件データ!$J$5:$J$180,E$19)</f>
        <v>102000000</v>
      </c>
      <c r="F27" s="10" t="n">
        <f aca="false">SUMIFS(物件データ!$G$5:$G$180,物件データ!$L$5:$L$180,1,物件データ!$B$5:$B$180,$A27,物件データ!$J$5:$J$180,F$19)</f>
        <v>0</v>
      </c>
      <c r="G27" s="10" t="n">
        <f aca="false">SUMIFS(物件データ!$G$5:$G$180,物件データ!$L$5:$L$180,1,物件データ!$B$5:$B$180,$A27,物件データ!$J$5:$J$180,G$19)</f>
        <v>0</v>
      </c>
      <c r="H27" s="14" t="n">
        <f aca="false">SUMIFS(物件データ!$G$5:$G$180,物件データ!$L$5:$L$180,1,物件データ!$B$5:$B$180,$A27,物件データ!$J$5:$J$180,"?*")</f>
        <v>141000000</v>
      </c>
    </row>
    <row r="28" customFormat="false" ht="15" hidden="false" customHeight="false" outlineLevel="0" collapsed="false">
      <c r="A28" s="15" t="s">
        <v>122</v>
      </c>
      <c r="B28" s="10" t="n">
        <f aca="false">SUMIFS(物件データ!$G$5:$G$180,物件データ!$L$5:$L$180,1,物件データ!$B$5:$B$180,$A28,物件データ!$J$5:$J$180,B$19)</f>
        <v>0</v>
      </c>
      <c r="C28" s="10" t="n">
        <f aca="false">SUMIFS(物件データ!$G$5:$G$180,物件データ!$L$5:$L$180,1,物件データ!$B$5:$B$180,$A28,物件データ!$J$5:$J$180,C$19)</f>
        <v>0</v>
      </c>
      <c r="D28" s="10" t="n">
        <f aca="false">SUMIFS(物件データ!$G$5:$G$180,物件データ!$L$5:$L$180,1,物件データ!$B$5:$B$180,$A28,物件データ!$J$5:$J$180,D$19)</f>
        <v>0</v>
      </c>
      <c r="E28" s="10" t="n">
        <f aca="false">SUMIFS(物件データ!$G$5:$G$180,物件データ!$L$5:$L$180,1,物件データ!$B$5:$B$180,$A28,物件データ!$J$5:$J$180,E$19)</f>
        <v>320000000</v>
      </c>
      <c r="F28" s="10" t="n">
        <f aca="false">SUMIFS(物件データ!$G$5:$G$180,物件データ!$L$5:$L$180,1,物件データ!$B$5:$B$180,$A28,物件データ!$J$5:$J$180,F$19)</f>
        <v>0</v>
      </c>
      <c r="G28" s="10" t="n">
        <f aca="false">SUMIFS(物件データ!$G$5:$G$180,物件データ!$L$5:$L$180,1,物件データ!$B$5:$B$180,$A28,物件データ!$J$5:$J$180,G$19)</f>
        <v>0</v>
      </c>
      <c r="H28" s="14" t="n">
        <f aca="false">SUMIFS(物件データ!$G$5:$G$180,物件データ!$L$5:$L$180,1,物件データ!$B$5:$B$180,$A28,物件データ!$J$5:$J$180,"?*")</f>
        <v>320000000</v>
      </c>
    </row>
    <row r="29" customFormat="false" ht="15" hidden="false" customHeight="false" outlineLevel="0" collapsed="false">
      <c r="A29" s="13" t="s">
        <v>221</v>
      </c>
      <c r="B29" s="10" t="n">
        <f aca="false">SUMIFS(物件データ!$G$5:$G$180,物件データ!$L$5:$L$180,1,物件データ!$B$5:$B$180,$A29,物件データ!$J$5:$J$180,B$19)</f>
        <v>0</v>
      </c>
      <c r="C29" s="10" t="n">
        <f aca="false">SUMIFS(物件データ!$G$5:$G$180,物件データ!$L$5:$L$180,1,物件データ!$B$5:$B$180,$A29,物件データ!$J$5:$J$180,C$19)</f>
        <v>0</v>
      </c>
      <c r="D29" s="10" t="n">
        <f aca="false">SUMIFS(物件データ!$G$5:$G$180,物件データ!$L$5:$L$180,1,物件データ!$B$5:$B$180,$A29,物件データ!$J$5:$J$180,D$19)</f>
        <v>0</v>
      </c>
      <c r="E29" s="10" t="n">
        <f aca="false">SUMIFS(物件データ!$G$5:$G$180,物件データ!$L$5:$L$180,1,物件データ!$B$5:$B$180,$A29,物件データ!$J$5:$J$180,E$19)</f>
        <v>0</v>
      </c>
      <c r="F29" s="10" t="n">
        <f aca="false">SUMIFS(物件データ!$G$5:$G$180,物件データ!$L$5:$L$180,1,物件データ!$B$5:$B$180,$A29,物件データ!$J$5:$J$180,F$19)</f>
        <v>37000000</v>
      </c>
      <c r="G29" s="10" t="n">
        <f aca="false">SUMIFS(物件データ!$G$5:$G$180,物件データ!$L$5:$L$180,1,物件データ!$B$5:$B$180,$A29,物件データ!$J$5:$J$180,G$19)</f>
        <v>0</v>
      </c>
      <c r="H29" s="14" t="n">
        <f aca="false">SUMIFS(物件データ!$G$5:$G$180,物件データ!$L$5:$L$180,1,物件データ!$B$5:$B$180,$A29,物件データ!$J$5:$J$180,"?*")</f>
        <v>37000000</v>
      </c>
    </row>
    <row r="30" customFormat="false" ht="15" hidden="false" customHeight="false" outlineLevel="0" collapsed="false">
      <c r="A30" s="16" t="s">
        <v>218</v>
      </c>
      <c r="B30" s="14" t="n">
        <f aca="false">SUM(B20:B29)</f>
        <v>1869500000</v>
      </c>
      <c r="C30" s="14" t="n">
        <f aca="false">SUM(C20:C29)</f>
        <v>2411650000</v>
      </c>
      <c r="D30" s="14" t="n">
        <f aca="false">SUM(D20:D29)</f>
        <v>423100000</v>
      </c>
      <c r="E30" s="14" t="n">
        <f aca="false">SUM(E20:E29)</f>
        <v>2105600000</v>
      </c>
      <c r="F30" s="14" t="n">
        <f aca="false">SUM(F20:F29)</f>
        <v>2875200000</v>
      </c>
      <c r="G30" s="14" t="n">
        <f aca="false">SUM(G20:G29)</f>
        <v>429900000</v>
      </c>
      <c r="H30" s="14" t="n">
        <f aca="false">SUM(H20:H29)</f>
        <v>10114950000</v>
      </c>
    </row>
    <row r="32" customFormat="false" ht="15" hidden="false" customHeight="false" outlineLevel="0" collapsed="false">
      <c r="A32" s="18" t="s">
        <v>226</v>
      </c>
    </row>
    <row r="33" customFormat="false" ht="15" hidden="false" customHeight="false" outlineLevel="0" collapsed="false">
      <c r="A33" s="4" t="s">
        <v>3</v>
      </c>
      <c r="B33" s="3" t="s">
        <v>212</v>
      </c>
      <c r="C33" s="3" t="s">
        <v>213</v>
      </c>
      <c r="D33" s="3" t="s">
        <v>214</v>
      </c>
      <c r="E33" s="3" t="s">
        <v>215</v>
      </c>
      <c r="F33" s="3" t="s">
        <v>216</v>
      </c>
      <c r="G33" s="3" t="s">
        <v>217</v>
      </c>
      <c r="H33" s="4" t="s">
        <v>218</v>
      </c>
    </row>
    <row r="34" customFormat="false" ht="15" hidden="false" customHeight="false" outlineLevel="0" collapsed="false">
      <c r="A34" s="13" t="s">
        <v>23</v>
      </c>
      <c r="B34" s="10" t="n">
        <f aca="false">SUMIFS(物件データ!$M$5:$M$180,物件データ!$L$5:$L$180,1,物件データ!$B$5:$B$180,$A34,物件データ!$J$5:$J$180,B$33)</f>
        <v>0</v>
      </c>
      <c r="C34" s="10" t="n">
        <f aca="false">SUMIFS(物件データ!$M$5:$M$180,物件データ!$L$5:$L$180,1,物件データ!$B$5:$B$180,$A34,物件データ!$J$5:$J$180,C$33)</f>
        <v>183010000</v>
      </c>
      <c r="D34" s="10" t="n">
        <f aca="false">SUMIFS(物件データ!$M$5:$M$180,物件データ!$L$5:$L$180,1,物件データ!$B$5:$B$180,$A34,物件データ!$J$5:$J$180,D$33)</f>
        <v>33670000</v>
      </c>
      <c r="E34" s="10" t="n">
        <f aca="false">SUMIFS(物件データ!$M$5:$M$180,物件データ!$L$5:$L$180,1,物件データ!$B$5:$B$180,$A34,物件データ!$J$5:$J$180,E$33)</f>
        <v>75200000</v>
      </c>
      <c r="F34" s="10" t="n">
        <f aca="false">SUMIFS(物件データ!$M$5:$M$180,物件データ!$L$5:$L$180,1,物件データ!$B$5:$B$180,$A34,物件データ!$J$5:$J$180,F$33)</f>
        <v>158785000</v>
      </c>
      <c r="G34" s="10" t="n">
        <f aca="false">SUMIFS(物件データ!$M$5:$M$180,物件データ!$L$5:$L$180,1,物件データ!$B$5:$B$180,$A34,物件データ!$J$5:$J$180,G$33)</f>
        <v>25000000</v>
      </c>
      <c r="H34" s="14" t="n">
        <f aca="false">SUMIFS(物件データ!$M$5:$M$180,物件データ!$L$5:$L$180,1,物件データ!$B$5:$B$180,$A34,物件データ!$J$5:$J$180,"?*")</f>
        <v>475665000</v>
      </c>
    </row>
    <row r="35" customFormat="false" ht="15" hidden="false" customHeight="false" outlineLevel="0" collapsed="false">
      <c r="A35" s="13" t="s">
        <v>42</v>
      </c>
      <c r="B35" s="10" t="n">
        <f aca="false">SUMIFS(物件データ!$M$5:$M$180,物件データ!$L$5:$L$180,1,物件データ!$B$5:$B$180,$A35,物件データ!$J$5:$J$180,B$33)</f>
        <v>28786000</v>
      </c>
      <c r="C35" s="10" t="n">
        <f aca="false">SUMIFS(物件データ!$M$5:$M$180,物件データ!$L$5:$L$180,1,物件データ!$B$5:$B$180,$A35,物件データ!$J$5:$J$180,C$33)</f>
        <v>17200000</v>
      </c>
      <c r="D35" s="10" t="n">
        <f aca="false">SUMIFS(物件データ!$M$5:$M$180,物件データ!$L$5:$L$180,1,物件データ!$B$5:$B$180,$A35,物件データ!$J$5:$J$180,D$33)</f>
        <v>0</v>
      </c>
      <c r="E35" s="10" t="n">
        <f aca="false">SUMIFS(物件データ!$M$5:$M$180,物件データ!$L$5:$L$180,1,物件データ!$B$5:$B$180,$A35,物件データ!$J$5:$J$180,E$33)</f>
        <v>52461000</v>
      </c>
      <c r="F35" s="10" t="n">
        <f aca="false">SUMIFS(物件データ!$M$5:$M$180,物件データ!$L$5:$L$180,1,物件データ!$B$5:$B$180,$A35,物件データ!$J$5:$J$180,F$33)</f>
        <v>251950000</v>
      </c>
      <c r="G35" s="10" t="n">
        <f aca="false">SUMIFS(物件データ!$M$5:$M$180,物件データ!$L$5:$L$180,1,物件データ!$B$5:$B$180,$A35,物件データ!$J$5:$J$180,G$33)</f>
        <v>-10216000</v>
      </c>
      <c r="H35" s="14" t="n">
        <f aca="false">SUMIFS(物件データ!$M$5:$M$180,物件データ!$L$5:$L$180,1,物件データ!$B$5:$B$180,$A35,物件データ!$J$5:$J$180,"?*")</f>
        <v>340181000</v>
      </c>
    </row>
    <row r="36" customFormat="false" ht="15" hidden="false" customHeight="false" outlineLevel="0" collapsed="false">
      <c r="A36" s="15" t="s">
        <v>219</v>
      </c>
      <c r="B36" s="10" t="n">
        <f aca="false">SUMIFS(物件データ!$M$5:$M$180,物件データ!$L$5:$L$180,1,物件データ!$B$5:$B$180,$A36,物件データ!$J$5:$J$180,B$33)</f>
        <v>0</v>
      </c>
      <c r="C36" s="10" t="n">
        <f aca="false">SUMIFS(物件データ!$M$5:$M$180,物件データ!$L$5:$L$180,1,物件データ!$B$5:$B$180,$A36,物件データ!$J$5:$J$180,C$33)</f>
        <v>12260000</v>
      </c>
      <c r="D36" s="10" t="n">
        <f aca="false">SUMIFS(物件データ!$M$5:$M$180,物件データ!$L$5:$L$180,1,物件データ!$B$5:$B$180,$A36,物件データ!$J$5:$J$180,D$33)</f>
        <v>0</v>
      </c>
      <c r="E36" s="10" t="n">
        <f aca="false">SUMIFS(物件データ!$M$5:$M$180,物件データ!$L$5:$L$180,1,物件データ!$B$5:$B$180,$A36,物件データ!$J$5:$J$180,E$33)</f>
        <v>-8750000</v>
      </c>
      <c r="F36" s="10" t="n">
        <f aca="false">SUMIFS(物件データ!$M$5:$M$180,物件データ!$L$5:$L$180,1,物件データ!$B$5:$B$180,$A36,物件データ!$J$5:$J$180,F$33)</f>
        <v>24000000</v>
      </c>
      <c r="G36" s="10" t="n">
        <f aca="false">SUMIFS(物件データ!$M$5:$M$180,物件データ!$L$5:$L$180,1,物件データ!$B$5:$B$180,$A36,物件データ!$J$5:$J$180,G$33)</f>
        <v>8690000</v>
      </c>
      <c r="H36" s="14" t="n">
        <f aca="false">SUMIFS(物件データ!$M$5:$M$180,物件データ!$L$5:$L$180,1,物件データ!$B$5:$B$180,$A36,物件データ!$J$5:$J$180,"?*")</f>
        <v>36200000</v>
      </c>
    </row>
    <row r="37" customFormat="false" ht="15" hidden="false" customHeight="false" outlineLevel="0" collapsed="false">
      <c r="A37" s="13" t="s">
        <v>26</v>
      </c>
      <c r="B37" s="10" t="n">
        <f aca="false">SUMIFS(物件データ!$M$5:$M$180,物件データ!$L$5:$L$180,1,物件データ!$B$5:$B$180,$A37,物件データ!$J$5:$J$180,B$33)</f>
        <v>10342000</v>
      </c>
      <c r="C37" s="10" t="n">
        <f aca="false">SUMIFS(物件データ!$M$5:$M$180,物件データ!$L$5:$L$180,1,物件データ!$B$5:$B$180,$A37,物件データ!$J$5:$J$180,C$33)</f>
        <v>23500000</v>
      </c>
      <c r="D37" s="10" t="n">
        <f aca="false">SUMIFS(物件データ!$M$5:$M$180,物件データ!$L$5:$L$180,1,物件データ!$B$5:$B$180,$A37,物件データ!$J$5:$J$180,D$33)</f>
        <v>13000000</v>
      </c>
      <c r="E37" s="10" t="n">
        <f aca="false">SUMIFS(物件データ!$M$5:$M$180,物件データ!$L$5:$L$180,1,物件データ!$B$5:$B$180,$A37,物件データ!$J$5:$J$180,E$33)</f>
        <v>18600000</v>
      </c>
      <c r="F37" s="10" t="n">
        <f aca="false">SUMIFS(物件データ!$M$5:$M$180,物件データ!$L$5:$L$180,1,物件データ!$B$5:$B$180,$A37,物件データ!$J$5:$J$180,F$33)</f>
        <v>36400000</v>
      </c>
      <c r="G37" s="10" t="n">
        <f aca="false">SUMIFS(物件データ!$M$5:$M$180,物件データ!$L$5:$L$180,1,物件データ!$B$5:$B$180,$A37,物件データ!$J$5:$J$180,G$33)</f>
        <v>0</v>
      </c>
      <c r="H37" s="14" t="n">
        <f aca="false">SUMIFS(物件データ!$M$5:$M$180,物件データ!$L$5:$L$180,1,物件データ!$B$5:$B$180,$A37,物件データ!$J$5:$J$180,"?*")</f>
        <v>101842000</v>
      </c>
    </row>
    <row r="38" customFormat="false" ht="15" hidden="false" customHeight="false" outlineLevel="0" collapsed="false">
      <c r="A38" s="13" t="s">
        <v>50</v>
      </c>
      <c r="B38" s="10" t="n">
        <f aca="false">SUMIFS(物件データ!$M$5:$M$180,物件データ!$L$5:$L$180,1,物件データ!$B$5:$B$180,$A38,物件データ!$J$5:$J$180,B$33)</f>
        <v>9033600</v>
      </c>
      <c r="C38" s="10" t="n">
        <f aca="false">SUMIFS(物件データ!$M$5:$M$180,物件データ!$L$5:$L$180,1,物件データ!$B$5:$B$180,$A38,物件データ!$J$5:$J$180,C$33)</f>
        <v>10950000</v>
      </c>
      <c r="D38" s="10" t="n">
        <f aca="false">SUMIFS(物件データ!$M$5:$M$180,物件データ!$L$5:$L$180,1,物件データ!$B$5:$B$180,$A38,物件データ!$J$5:$J$180,D$33)</f>
        <v>0</v>
      </c>
      <c r="E38" s="10" t="n">
        <f aca="false">SUMIFS(物件データ!$M$5:$M$180,物件データ!$L$5:$L$180,1,物件データ!$B$5:$B$180,$A38,物件データ!$J$5:$J$180,E$33)</f>
        <v>41850000</v>
      </c>
      <c r="F38" s="10" t="n">
        <f aca="false">SUMIFS(物件データ!$M$5:$M$180,物件データ!$L$5:$L$180,1,物件データ!$B$5:$B$180,$A38,物件データ!$J$5:$J$180,F$33)</f>
        <v>0</v>
      </c>
      <c r="G38" s="10" t="n">
        <f aca="false">SUMIFS(物件データ!$M$5:$M$180,物件データ!$L$5:$L$180,1,物件データ!$B$5:$B$180,$A38,物件データ!$J$5:$J$180,G$33)</f>
        <v>0</v>
      </c>
      <c r="H38" s="14" t="n">
        <f aca="false">SUMIFS(物件データ!$M$5:$M$180,物件データ!$L$5:$L$180,1,物件データ!$B$5:$B$180,$A38,物件データ!$J$5:$J$180,"?*")</f>
        <v>61833600</v>
      </c>
    </row>
    <row r="39" customFormat="false" ht="15" hidden="false" customHeight="false" outlineLevel="0" collapsed="false">
      <c r="A39" s="13" t="s">
        <v>93</v>
      </c>
      <c r="B39" s="10" t="n">
        <f aca="false">SUMIFS(物件データ!$M$5:$M$180,物件データ!$L$5:$L$180,1,物件データ!$B$5:$B$180,$A39,物件データ!$J$5:$J$180,B$33)</f>
        <v>0</v>
      </c>
      <c r="C39" s="10" t="n">
        <f aca="false">SUMIFS(物件データ!$M$5:$M$180,物件データ!$L$5:$L$180,1,物件データ!$B$5:$B$180,$A39,物件データ!$J$5:$J$180,C$33)</f>
        <v>0</v>
      </c>
      <c r="D39" s="10" t="n">
        <f aca="false">SUMIFS(物件データ!$M$5:$M$180,物件データ!$L$5:$L$180,1,物件データ!$B$5:$B$180,$A39,物件データ!$J$5:$J$180,D$33)</f>
        <v>25200000</v>
      </c>
      <c r="E39" s="10" t="n">
        <f aca="false">SUMIFS(物件データ!$M$5:$M$180,物件データ!$L$5:$L$180,1,物件データ!$B$5:$B$180,$A39,物件データ!$J$5:$J$180,E$33)</f>
        <v>19230000</v>
      </c>
      <c r="F39" s="10" t="n">
        <f aca="false">SUMIFS(物件データ!$M$5:$M$180,物件データ!$L$5:$L$180,1,物件データ!$B$5:$B$180,$A39,物件データ!$J$5:$J$180,F$33)</f>
        <v>13606090</v>
      </c>
      <c r="G39" s="10" t="n">
        <f aca="false">SUMIFS(物件データ!$M$5:$M$180,物件データ!$L$5:$L$180,1,物件データ!$B$5:$B$180,$A39,物件データ!$J$5:$J$180,G$33)</f>
        <v>0</v>
      </c>
      <c r="H39" s="14" t="n">
        <f aca="false">SUMIFS(物件データ!$M$5:$M$180,物件データ!$L$5:$L$180,1,物件データ!$B$5:$B$180,$A39,物件データ!$J$5:$J$180,"?*")</f>
        <v>58036090</v>
      </c>
    </row>
    <row r="40" customFormat="false" ht="15" hidden="false" customHeight="false" outlineLevel="0" collapsed="false">
      <c r="A40" s="13" t="s">
        <v>69</v>
      </c>
      <c r="B40" s="10" t="n">
        <f aca="false">SUMIFS(物件データ!$M$5:$M$180,物件データ!$L$5:$L$180,1,物件データ!$B$5:$B$180,$A40,物件データ!$J$5:$J$180,B$33)</f>
        <v>0</v>
      </c>
      <c r="C40" s="10" t="n">
        <f aca="false">SUMIFS(物件データ!$M$5:$M$180,物件データ!$L$5:$L$180,1,物件データ!$B$5:$B$180,$A40,物件データ!$J$5:$J$180,C$33)</f>
        <v>33500000</v>
      </c>
      <c r="D40" s="10" t="n">
        <f aca="false">SUMIFS(物件データ!$M$5:$M$180,物件データ!$L$5:$L$180,1,物件データ!$B$5:$B$180,$A40,物件データ!$J$5:$J$180,D$33)</f>
        <v>0</v>
      </c>
      <c r="E40" s="10" t="n">
        <f aca="false">SUMIFS(物件データ!$M$5:$M$180,物件データ!$L$5:$L$180,1,物件データ!$B$5:$B$180,$A40,物件データ!$J$5:$J$180,E$33)</f>
        <v>9800000</v>
      </c>
      <c r="F40" s="10" t="n">
        <f aca="false">SUMIFS(物件データ!$M$5:$M$180,物件データ!$L$5:$L$180,1,物件データ!$B$5:$B$180,$A40,物件データ!$J$5:$J$180,F$33)</f>
        <v>17000000</v>
      </c>
      <c r="G40" s="10" t="n">
        <f aca="false">SUMIFS(物件データ!$M$5:$M$180,物件データ!$L$5:$L$180,1,物件データ!$B$5:$B$180,$A40,物件データ!$J$5:$J$180,G$33)</f>
        <v>0</v>
      </c>
      <c r="H40" s="14" t="n">
        <f aca="false">SUMIFS(物件データ!$M$5:$M$180,物件データ!$L$5:$L$180,1,物件データ!$B$5:$B$180,$A40,物件データ!$J$5:$J$180,"?*")</f>
        <v>60300000</v>
      </c>
    </row>
    <row r="41" customFormat="false" ht="15" hidden="false" customHeight="false" outlineLevel="0" collapsed="false">
      <c r="A41" s="15" t="s">
        <v>220</v>
      </c>
      <c r="B41" s="10" t="n">
        <f aca="false">SUMIFS(物件データ!$M$5:$M$180,物件データ!$L$5:$L$180,1,物件データ!$B$5:$B$180,$A41,物件データ!$J$5:$J$180,B$33)</f>
        <v>0</v>
      </c>
      <c r="C41" s="10" t="n">
        <f aca="false">SUMIFS(物件データ!$M$5:$M$180,物件データ!$L$5:$L$180,1,物件データ!$B$5:$B$180,$A41,物件データ!$J$5:$J$180,C$33)</f>
        <v>0</v>
      </c>
      <c r="D41" s="10" t="n">
        <f aca="false">SUMIFS(物件データ!$M$5:$M$180,物件データ!$L$5:$L$180,1,物件データ!$B$5:$B$180,$A41,物件データ!$J$5:$J$180,D$33)</f>
        <v>0</v>
      </c>
      <c r="E41" s="10" t="n">
        <f aca="false">SUMIFS(物件データ!$M$5:$M$180,物件データ!$L$5:$L$180,1,物件データ!$B$5:$B$180,$A41,物件データ!$J$5:$J$180,E$33)</f>
        <v>13300000</v>
      </c>
      <c r="F41" s="10" t="n">
        <f aca="false">SUMIFS(物件データ!$M$5:$M$180,物件データ!$L$5:$L$180,1,物件データ!$B$5:$B$180,$A41,物件データ!$J$5:$J$180,F$33)</f>
        <v>0</v>
      </c>
      <c r="G41" s="10" t="n">
        <f aca="false">SUMIFS(物件データ!$M$5:$M$180,物件データ!$L$5:$L$180,1,物件データ!$B$5:$B$180,$A41,物件データ!$J$5:$J$180,G$33)</f>
        <v>0</v>
      </c>
      <c r="H41" s="14" t="n">
        <f aca="false">SUMIFS(物件データ!$M$5:$M$180,物件データ!$L$5:$L$180,1,物件データ!$B$5:$B$180,$A41,物件データ!$J$5:$J$180,"?*")</f>
        <v>13300000</v>
      </c>
    </row>
    <row r="42" customFormat="false" ht="15" hidden="false" customHeight="false" outlineLevel="0" collapsed="false">
      <c r="A42" s="15" t="s">
        <v>122</v>
      </c>
      <c r="B42" s="10" t="n">
        <f aca="false">SUMIFS(物件データ!$M$5:$M$180,物件データ!$L$5:$L$180,1,物件データ!$B$5:$B$180,$A42,物件データ!$J$5:$J$180,B$33)</f>
        <v>0</v>
      </c>
      <c r="C42" s="10" t="n">
        <f aca="false">SUMIFS(物件データ!$M$5:$M$180,物件データ!$L$5:$L$180,1,物件データ!$B$5:$B$180,$A42,物件データ!$J$5:$J$180,C$33)</f>
        <v>0</v>
      </c>
      <c r="D42" s="10" t="n">
        <f aca="false">SUMIFS(物件データ!$M$5:$M$180,物件データ!$L$5:$L$180,1,物件データ!$B$5:$B$180,$A42,物件データ!$J$5:$J$180,D$33)</f>
        <v>0</v>
      </c>
      <c r="E42" s="10" t="n">
        <f aca="false">SUMIFS(物件データ!$M$5:$M$180,物件データ!$L$5:$L$180,1,物件データ!$B$5:$B$180,$A42,物件データ!$J$5:$J$180,E$33)</f>
        <v>77750000</v>
      </c>
      <c r="F42" s="10" t="n">
        <f aca="false">SUMIFS(物件データ!$M$5:$M$180,物件データ!$L$5:$L$180,1,物件データ!$B$5:$B$180,$A42,物件データ!$J$5:$J$180,F$33)</f>
        <v>0</v>
      </c>
      <c r="G42" s="10" t="n">
        <f aca="false">SUMIFS(物件データ!$M$5:$M$180,物件データ!$L$5:$L$180,1,物件データ!$B$5:$B$180,$A42,物件データ!$J$5:$J$180,G$33)</f>
        <v>0</v>
      </c>
      <c r="H42" s="14" t="n">
        <f aca="false">SUMIFS(物件データ!$M$5:$M$180,物件データ!$L$5:$L$180,1,物件データ!$B$5:$B$180,$A42,物件データ!$J$5:$J$180,"?*")</f>
        <v>77750000</v>
      </c>
    </row>
    <row r="43" customFormat="false" ht="15" hidden="false" customHeight="false" outlineLevel="0" collapsed="false">
      <c r="A43" s="13" t="s">
        <v>221</v>
      </c>
      <c r="B43" s="10" t="n">
        <f aca="false">SUMIFS(物件データ!$M$5:$M$180,物件データ!$L$5:$L$180,1,物件データ!$B$5:$B$180,$A43,物件データ!$J$5:$J$180,B$33)</f>
        <v>0</v>
      </c>
      <c r="C43" s="10" t="n">
        <f aca="false">SUMIFS(物件データ!$M$5:$M$180,物件データ!$L$5:$L$180,1,物件データ!$B$5:$B$180,$A43,物件データ!$J$5:$J$180,C$33)</f>
        <v>0</v>
      </c>
      <c r="D43" s="10" t="n">
        <f aca="false">SUMIFS(物件データ!$M$5:$M$180,物件データ!$L$5:$L$180,1,物件データ!$B$5:$B$180,$A43,物件データ!$J$5:$J$180,D$33)</f>
        <v>0</v>
      </c>
      <c r="E43" s="10" t="n">
        <f aca="false">SUMIFS(物件データ!$M$5:$M$180,物件データ!$L$5:$L$180,1,物件データ!$B$5:$B$180,$A43,物件データ!$J$5:$J$180,E$33)</f>
        <v>0</v>
      </c>
      <c r="F43" s="10" t="n">
        <f aca="false">SUMIFS(物件データ!$M$5:$M$180,物件データ!$L$5:$L$180,1,物件データ!$B$5:$B$180,$A43,物件データ!$J$5:$J$180,F$33)</f>
        <v>5600000</v>
      </c>
      <c r="G43" s="10" t="n">
        <f aca="false">SUMIFS(物件データ!$M$5:$M$180,物件データ!$L$5:$L$180,1,物件データ!$B$5:$B$180,$A43,物件データ!$J$5:$J$180,G$33)</f>
        <v>0</v>
      </c>
      <c r="H43" s="14" t="n">
        <f aca="false">SUMIFS(物件データ!$M$5:$M$180,物件データ!$L$5:$L$180,1,物件データ!$B$5:$B$180,$A43,物件データ!$J$5:$J$180,"?*")</f>
        <v>5600000</v>
      </c>
    </row>
    <row r="44" customFormat="false" ht="15" hidden="false" customHeight="false" outlineLevel="0" collapsed="false">
      <c r="A44" s="16" t="s">
        <v>218</v>
      </c>
      <c r="B44" s="14" t="n">
        <f aca="false">SUM(B34:B43)</f>
        <v>48161600</v>
      </c>
      <c r="C44" s="14" t="n">
        <f aca="false">SUM(C34:C43)</f>
        <v>280420000</v>
      </c>
      <c r="D44" s="14" t="n">
        <f aca="false">SUM(D34:D43)</f>
        <v>71870000</v>
      </c>
      <c r="E44" s="14" t="n">
        <f aca="false">SUM(E34:E43)</f>
        <v>299441000</v>
      </c>
      <c r="F44" s="14" t="n">
        <f aca="false">SUM(F34:F43)</f>
        <v>507341090</v>
      </c>
      <c r="G44" s="14" t="n">
        <f aca="false">SUM(G34:G43)</f>
        <v>23474000</v>
      </c>
      <c r="H44" s="14" t="n">
        <f aca="false">SUM(H34:H43)</f>
        <v>1230707690</v>
      </c>
    </row>
    <row r="46" customFormat="false" ht="15" hidden="false" customHeight="false" outlineLevel="0" collapsed="false">
      <c r="A46" s="18" t="s">
        <v>227</v>
      </c>
    </row>
    <row r="47" customFormat="false" ht="15" hidden="false" customHeight="false" outlineLevel="0" collapsed="false">
      <c r="A47" s="4" t="s">
        <v>3</v>
      </c>
      <c r="B47" s="3" t="s">
        <v>212</v>
      </c>
      <c r="C47" s="3" t="s">
        <v>213</v>
      </c>
      <c r="D47" s="3" t="s">
        <v>214</v>
      </c>
      <c r="E47" s="3" t="s">
        <v>215</v>
      </c>
      <c r="F47" s="3" t="s">
        <v>216</v>
      </c>
      <c r="G47" s="3" t="s">
        <v>217</v>
      </c>
      <c r="H47" s="4" t="s">
        <v>218</v>
      </c>
    </row>
    <row r="48" customFormat="false" ht="15" hidden="false" customHeight="false" outlineLevel="0" collapsed="false">
      <c r="A48" s="13" t="s">
        <v>23</v>
      </c>
      <c r="B48" s="11" t="str">
        <f aca="false">IFERROR(SUMIFS(物件データ!$M$5:$M$180,物件データ!$L$5:$L$180,1,物件データ!$B$5:$B$180,$A48,物件データ!$J$5:$J$180,B$47,物件データ!$H$5:$H$180,"&gt;0")/SUMIFS(物件データ!$G$5:$G$180,物件データ!$L$5:$L$180,1,物件データ!$B$5:$B$180,$A48,物件データ!$J$5:$J$180,B$47,物件データ!$H$5:$H$180,"&gt;0"),"")</f>
        <v/>
      </c>
      <c r="C48" s="11" t="n">
        <f aca="false">IFERROR(SUMIFS(物件データ!$M$5:$M$180,物件データ!$L$5:$L$180,1,物件データ!$B$5:$B$180,$A48,物件データ!$J$5:$J$180,C$47,物件データ!$H$5:$H$180,"&gt;0")/SUMIFS(物件データ!$G$5:$G$180,物件データ!$L$5:$L$180,1,物件データ!$B$5:$B$180,$A48,物件データ!$J$5:$J$180,C$47,物件データ!$H$5:$H$180,"&gt;0"),"")</f>
        <v>0.157631352282515</v>
      </c>
      <c r="D48" s="11" t="n">
        <f aca="false">IFERROR(SUMIFS(物件データ!$M$5:$M$180,物件データ!$L$5:$L$180,1,物件データ!$B$5:$B$180,$A48,物件データ!$J$5:$J$180,D$47,物件データ!$H$5:$H$180,"&gt;0")/SUMIFS(物件データ!$G$5:$G$180,物件データ!$L$5:$L$180,1,物件データ!$B$5:$B$180,$A48,物件データ!$J$5:$J$180,D$47,物件データ!$H$5:$H$180,"&gt;0"),"")</f>
        <v>0.135492957746479</v>
      </c>
      <c r="E48" s="11" t="n">
        <f aca="false">IFERROR(SUMIFS(物件データ!$M$5:$M$180,物件データ!$L$5:$L$180,1,物件データ!$B$5:$B$180,$A48,物件データ!$J$5:$J$180,E$47,物件データ!$H$5:$H$180,"&gt;0")/SUMIFS(物件データ!$G$5:$G$180,物件データ!$L$5:$L$180,1,物件データ!$B$5:$B$180,$A48,物件データ!$J$5:$J$180,E$47,物件データ!$H$5:$H$180,"&gt;0"),"")</f>
        <v>0.124194880264244</v>
      </c>
      <c r="F48" s="11" t="n">
        <f aca="false">IFERROR(SUMIFS(物件データ!$M$5:$M$180,物件データ!$L$5:$L$180,1,物件データ!$B$5:$B$180,$A48,物件データ!$J$5:$J$180,F$47,物件データ!$H$5:$H$180,"&gt;0")/SUMIFS(物件データ!$G$5:$G$180,物件データ!$L$5:$L$180,1,物件データ!$B$5:$B$180,$A48,物件データ!$J$5:$J$180,F$47,物件データ!$H$5:$H$180,"&gt;0"),"")</f>
        <v>0.200107120352867</v>
      </c>
      <c r="G48" s="11" t="n">
        <f aca="false">IFERROR(SUMIFS(物件データ!$M$5:$M$180,物件データ!$L$5:$L$180,1,物件データ!$B$5:$B$180,$A48,物件データ!$J$5:$J$180,G$47,物件データ!$H$5:$H$180,"&gt;0")/SUMIFS(物件データ!$G$5:$G$180,物件データ!$L$5:$L$180,1,物件データ!$B$5:$B$180,$A48,物件データ!$J$5:$J$180,G$47,物件データ!$H$5:$H$180,"&gt;0"),"")</f>
        <v>0.166333998669328</v>
      </c>
      <c r="H48" s="19" t="n">
        <f aca="false">IFERROR(SUMIFS(物件データ!$M$5:$M$180,物件データ!$L$5:$L$180,1,物件データ!$B$5:$B$180,$A48,物件データ!$J$5:$J$180,"?*",物件データ!$H$5:$H$180,"&gt;0")/SUMIFS(物件データ!$G$5:$G$180,物件データ!$L$5:$L$180,1,物件データ!$B$5:$B$180,$A48,物件データ!$J$5:$J$180,"?*",物件データ!$H$5:$H$180,"&gt;0"),"")</f>
        <v>0.160762809246992</v>
      </c>
    </row>
    <row r="49" customFormat="false" ht="15" hidden="false" customHeight="false" outlineLevel="0" collapsed="false">
      <c r="A49" s="13" t="s">
        <v>42</v>
      </c>
      <c r="B49" s="11" t="n">
        <f aca="false">IFERROR(SUMIFS(物件データ!$M$5:$M$180,物件データ!$L$5:$L$180,1,物件データ!$B$5:$B$180,$A49,物件データ!$J$5:$J$180,B$47,物件データ!$H$5:$H$180,"&gt;0")/SUMIFS(物件データ!$G$5:$G$180,物件データ!$L$5:$L$180,1,物件データ!$B$5:$B$180,$A49,物件データ!$J$5:$J$180,B$47,物件データ!$H$5:$H$180,"&gt;0"),"")</f>
        <v>0.208594202898551</v>
      </c>
      <c r="C49" s="11" t="n">
        <f aca="false">IFERROR(SUMIFS(物件データ!$M$5:$M$180,物件データ!$L$5:$L$180,1,物件データ!$B$5:$B$180,$A49,物件データ!$J$5:$J$180,C$47,物件データ!$H$5:$H$180,"&gt;0")/SUMIFS(物件データ!$G$5:$G$180,物件データ!$L$5:$L$180,1,物件データ!$B$5:$B$180,$A49,物件データ!$J$5:$J$180,C$47,物件データ!$H$5:$H$180,"&gt;0"),"")</f>
        <v>0.132921174652241</v>
      </c>
      <c r="D49" s="11" t="str">
        <f aca="false">IFERROR(SUMIFS(物件データ!$M$5:$M$180,物件データ!$L$5:$L$180,1,物件データ!$B$5:$B$180,$A49,物件データ!$J$5:$J$180,D$47,物件データ!$H$5:$H$180,"&gt;0")/SUMIFS(物件データ!$G$5:$G$180,物件データ!$L$5:$L$180,1,物件データ!$B$5:$B$180,$A49,物件データ!$J$5:$J$180,D$47,物件データ!$H$5:$H$180,"&gt;0"),"")</f>
        <v/>
      </c>
      <c r="E49" s="11" t="n">
        <f aca="false">IFERROR(SUMIFS(物件データ!$M$5:$M$180,物件データ!$L$5:$L$180,1,物件データ!$B$5:$B$180,$A49,物件データ!$J$5:$J$180,E$47,物件データ!$H$5:$H$180,"&gt;0")/SUMIFS(物件データ!$G$5:$G$180,物件データ!$L$5:$L$180,1,物件データ!$B$5:$B$180,$A49,物件データ!$J$5:$J$180,E$47,物件データ!$H$5:$H$180,"&gt;0"),"")</f>
        <v>0.201154141104294</v>
      </c>
      <c r="F49" s="11" t="n">
        <f aca="false">IFERROR(SUMIFS(物件データ!$M$5:$M$180,物件データ!$L$5:$L$180,1,物件データ!$B$5:$B$180,$A49,物件データ!$J$5:$J$180,F$47,物件データ!$H$5:$H$180,"&gt;0")/SUMIFS(物件データ!$G$5:$G$180,物件データ!$L$5:$L$180,1,物件データ!$B$5:$B$180,$A49,物件データ!$J$5:$J$180,F$47,物件データ!$H$5:$H$180,"&gt;0"),"")</f>
        <v>0.207879537953795</v>
      </c>
      <c r="G49" s="11" t="n">
        <f aca="false">IFERROR(SUMIFS(物件データ!$M$5:$M$180,物件データ!$L$5:$L$180,1,物件データ!$B$5:$B$180,$A49,物件データ!$J$5:$J$180,G$47,物件データ!$H$5:$H$180,"&gt;0")/SUMIFS(物件データ!$G$5:$G$180,物件データ!$L$5:$L$180,1,物件データ!$B$5:$B$180,$A49,物件データ!$J$5:$J$180,G$47,物件データ!$H$5:$H$180,"&gt;0"),"")</f>
        <v>-0.0408967173738991</v>
      </c>
      <c r="H49" s="19" t="n">
        <f aca="false">IFERROR(SUMIFS(物件データ!$M$5:$M$180,物件データ!$L$5:$L$180,1,物件データ!$B$5:$B$180,$A49,物件データ!$J$5:$J$180,"?*",物件データ!$H$5:$H$180,"&gt;0")/SUMIFS(物件データ!$G$5:$G$180,物件データ!$L$5:$L$180,1,物件データ!$B$5:$B$180,$A49,物件データ!$J$5:$J$180,"?*",物件データ!$H$5:$H$180,"&gt;0"),"")</f>
        <v>0.170945226130653</v>
      </c>
    </row>
    <row r="50" customFormat="false" ht="15" hidden="false" customHeight="false" outlineLevel="0" collapsed="false">
      <c r="A50" s="15" t="s">
        <v>219</v>
      </c>
      <c r="B50" s="11" t="str">
        <f aca="false">IFERROR(SUMIFS(物件データ!$M$5:$M$180,物件データ!$L$5:$L$180,1,物件データ!$B$5:$B$180,$A50,物件データ!$J$5:$J$180,B$47,物件データ!$H$5:$H$180,"&gt;0")/SUMIFS(物件データ!$G$5:$G$180,物件データ!$L$5:$L$180,1,物件データ!$B$5:$B$180,$A50,物件データ!$J$5:$J$180,B$47,物件データ!$H$5:$H$180,"&gt;0"),"")</f>
        <v/>
      </c>
      <c r="C50" s="11" t="n">
        <f aca="false">IFERROR(SUMIFS(物件データ!$M$5:$M$180,物件データ!$L$5:$L$180,1,物件データ!$B$5:$B$180,$A50,物件データ!$J$5:$J$180,C$47,物件データ!$H$5:$H$180,"&gt;0")/SUMIFS(物件データ!$G$5:$G$180,物件データ!$L$5:$L$180,1,物件データ!$B$5:$B$180,$A50,物件データ!$J$5:$J$180,C$47,物件データ!$H$5:$H$180,"&gt;0"),"")</f>
        <v>0.0622809245618491</v>
      </c>
      <c r="D50" s="11" t="str">
        <f aca="false">IFERROR(SUMIFS(物件データ!$M$5:$M$180,物件データ!$L$5:$L$180,1,物件データ!$B$5:$B$180,$A50,物件データ!$J$5:$J$180,D$47,物件データ!$H$5:$H$180,"&gt;0")/SUMIFS(物件データ!$G$5:$G$180,物件データ!$L$5:$L$180,1,物件データ!$B$5:$B$180,$A50,物件データ!$J$5:$J$180,D$47,物件データ!$H$5:$H$180,"&gt;0"),"")</f>
        <v/>
      </c>
      <c r="E50" s="11" t="n">
        <f aca="false">IFERROR(SUMIFS(物件データ!$M$5:$M$180,物件データ!$L$5:$L$180,1,物件データ!$B$5:$B$180,$A50,物件データ!$J$5:$J$180,E$47,物件データ!$H$5:$H$180,"&gt;0")/SUMIFS(物件データ!$G$5:$G$180,物件データ!$L$5:$L$180,1,物件データ!$B$5:$B$180,$A50,物件データ!$J$5:$J$180,E$47,物件データ!$H$5:$H$180,"&gt;0"),"")</f>
        <v>-0.098536036036036</v>
      </c>
      <c r="F50" s="11" t="n">
        <f aca="false">IFERROR(SUMIFS(物件データ!$M$5:$M$180,物件データ!$L$5:$L$180,1,物件データ!$B$5:$B$180,$A50,物件データ!$J$5:$J$180,F$47,物件データ!$H$5:$H$180,"&gt;0")/SUMIFS(物件データ!$G$5:$G$180,物件データ!$L$5:$L$180,1,物件データ!$B$5:$B$180,$A50,物件データ!$J$5:$J$180,F$47,物件データ!$H$5:$H$180,"&gt;0"),"")</f>
        <v>0.183206106870229</v>
      </c>
      <c r="G50" s="11" t="n">
        <f aca="false">IFERROR(SUMIFS(物件データ!$M$5:$M$180,物件データ!$L$5:$L$180,1,物件データ!$B$5:$B$180,$A50,物件データ!$J$5:$J$180,G$47,物件データ!$H$5:$H$180,"&gt;0")/SUMIFS(物件データ!$G$5:$G$180,物件データ!$L$5:$L$180,1,物件データ!$B$5:$B$180,$A50,物件データ!$J$5:$J$180,G$47,物件データ!$H$5:$H$180,"&gt;0"),"")</f>
        <v>0.291610738255034</v>
      </c>
      <c r="H50" s="19" t="n">
        <f aca="false">IFERROR(SUMIFS(物件データ!$M$5:$M$180,物件データ!$L$5:$L$180,1,物件データ!$B$5:$B$180,$A50,物件データ!$J$5:$J$180,"?*",物件データ!$H$5:$H$180,"&gt;0")/SUMIFS(物件データ!$G$5:$G$180,物件データ!$L$5:$L$180,1,物件データ!$B$5:$B$180,$A50,物件データ!$J$5:$J$180,"?*",物件データ!$H$5:$H$180,"&gt;0"),"")</f>
        <v>0.0810841079628178</v>
      </c>
    </row>
    <row r="51" customFormat="false" ht="15" hidden="false" customHeight="false" outlineLevel="0" collapsed="false">
      <c r="A51" s="13" t="s">
        <v>26</v>
      </c>
      <c r="B51" s="11" t="n">
        <f aca="false">IFERROR(SUMIFS(物件データ!$M$5:$M$180,物件データ!$L$5:$L$180,1,物件データ!$B$5:$B$180,$A51,物件データ!$J$5:$J$180,B$47,物件データ!$H$5:$H$180,"&gt;0")/SUMIFS(物件データ!$G$5:$G$180,物件データ!$L$5:$L$180,1,物件データ!$B$5:$B$180,$A51,物件データ!$J$5:$J$180,B$47,物件データ!$H$5:$H$180,"&gt;0"),"")</f>
        <v>0.123412887828162</v>
      </c>
      <c r="C51" s="11" t="n">
        <f aca="false">IFERROR(SUMIFS(物件データ!$M$5:$M$180,物件データ!$L$5:$L$180,1,物件データ!$B$5:$B$180,$A51,物件データ!$J$5:$J$180,C$47,物件データ!$H$5:$H$180,"&gt;0")/SUMIFS(物件データ!$G$5:$G$180,物件データ!$L$5:$L$180,1,物件データ!$B$5:$B$180,$A51,物件データ!$J$5:$J$180,C$47,物件データ!$H$5:$H$180,"&gt;0"),"")</f>
        <v>0.144348894348894</v>
      </c>
      <c r="D51" s="11" t="n">
        <f aca="false">IFERROR(SUMIFS(物件データ!$M$5:$M$180,物件データ!$L$5:$L$180,1,物件データ!$B$5:$B$180,$A51,物件データ!$J$5:$J$180,D$47,物件データ!$H$5:$H$180,"&gt;0")/SUMIFS(物件データ!$G$5:$G$180,物件データ!$L$5:$L$180,1,物件データ!$B$5:$B$180,$A51,物件データ!$J$5:$J$180,D$47,物件データ!$H$5:$H$180,"&gt;0"),"")</f>
        <v>0.17379679144385</v>
      </c>
      <c r="E51" s="11" t="n">
        <f aca="false">IFERROR(SUMIFS(物件データ!$M$5:$M$180,物件データ!$L$5:$L$180,1,物件データ!$B$5:$B$180,$A51,物件データ!$J$5:$J$180,E$47,物件データ!$H$5:$H$180,"&gt;0")/SUMIFS(物件データ!$G$5:$G$180,物件データ!$L$5:$L$180,1,物件データ!$B$5:$B$180,$A51,物件データ!$J$5:$J$180,E$47,物件データ!$H$5:$H$180,"&gt;0"),"")</f>
        <v>0.133428981348637</v>
      </c>
      <c r="F51" s="11" t="n">
        <f aca="false">IFERROR(SUMIFS(物件データ!$M$5:$M$180,物件データ!$L$5:$L$180,1,物件データ!$B$5:$B$180,$A51,物件データ!$J$5:$J$180,F$47,物件データ!$H$5:$H$180,"&gt;0")/SUMIFS(物件データ!$G$5:$G$180,物件データ!$L$5:$L$180,1,物件データ!$B$5:$B$180,$A51,物件データ!$J$5:$J$180,F$47,物件データ!$H$5:$H$180,"&gt;0"),"")</f>
        <v>0.117154811715481</v>
      </c>
      <c r="G51" s="11" t="str">
        <f aca="false">IFERROR(SUMIFS(物件データ!$M$5:$M$180,物件データ!$L$5:$L$180,1,物件データ!$B$5:$B$180,$A51,物件データ!$J$5:$J$180,G$47,物件データ!$H$5:$H$180,"&gt;0")/SUMIFS(物件データ!$G$5:$G$180,物件データ!$L$5:$L$180,1,物件データ!$B$5:$B$180,$A51,物件データ!$J$5:$J$180,G$47,物件データ!$H$5:$H$180,"&gt;0"),"")</f>
        <v/>
      </c>
      <c r="H51" s="19" t="n">
        <f aca="false">IFERROR(SUMIFS(物件データ!$M$5:$M$180,物件データ!$L$5:$L$180,1,物件データ!$B$5:$B$180,$A51,物件データ!$J$5:$J$180,"?*",物件データ!$H$5:$H$180,"&gt;0")/SUMIFS(物件データ!$G$5:$G$180,物件データ!$L$5:$L$180,1,物件データ!$B$5:$B$180,$A51,物件データ!$J$5:$J$180,"?*",物件データ!$H$5:$H$180,"&gt;0"),"")</f>
        <v>0.13200518470512</v>
      </c>
    </row>
    <row r="52" customFormat="false" ht="15" hidden="false" customHeight="false" outlineLevel="0" collapsed="false">
      <c r="A52" s="13" t="s">
        <v>50</v>
      </c>
      <c r="B52" s="11" t="n">
        <f aca="false">IFERROR(SUMIFS(物件データ!$M$5:$M$180,物件データ!$L$5:$L$180,1,物件データ!$B$5:$B$180,$A52,物件データ!$J$5:$J$180,B$47,物件データ!$H$5:$H$180,"&gt;0")/SUMIFS(物件データ!$G$5:$G$180,物件データ!$L$5:$L$180,1,物件データ!$B$5:$B$180,$A52,物件データ!$J$5:$J$180,B$47,物件データ!$H$5:$H$180,"&gt;0"),"")</f>
        <v>0.150811352253756</v>
      </c>
      <c r="C52" s="11" t="n">
        <f aca="false">IFERROR(SUMIFS(物件データ!$M$5:$M$180,物件データ!$L$5:$L$180,1,物件データ!$B$5:$B$180,$A52,物件データ!$J$5:$J$180,C$47,物件データ!$H$5:$H$180,"&gt;0")/SUMIFS(物件データ!$G$5:$G$180,物件データ!$L$5:$L$180,1,物件データ!$B$5:$B$180,$A52,物件データ!$J$5:$J$180,C$47,物件データ!$H$5:$H$180,"&gt;0"),"")</f>
        <v>0.263855421686747</v>
      </c>
      <c r="D52" s="11" t="str">
        <f aca="false">IFERROR(SUMIFS(物件データ!$M$5:$M$180,物件データ!$L$5:$L$180,1,物件データ!$B$5:$B$180,$A52,物件データ!$J$5:$J$180,D$47,物件データ!$H$5:$H$180,"&gt;0")/SUMIFS(物件データ!$G$5:$G$180,物件データ!$L$5:$L$180,1,物件データ!$B$5:$B$180,$A52,物件データ!$J$5:$J$180,D$47,物件データ!$H$5:$H$180,"&gt;0"),"")</f>
        <v/>
      </c>
      <c r="E52" s="11" t="n">
        <f aca="false">IFERROR(SUMIFS(物件データ!$M$5:$M$180,物件データ!$L$5:$L$180,1,物件データ!$B$5:$B$180,$A52,物件データ!$J$5:$J$180,E$47,物件データ!$H$5:$H$180,"&gt;0")/SUMIFS(物件データ!$G$5:$G$180,物件データ!$L$5:$L$180,1,物件データ!$B$5:$B$180,$A52,物件データ!$J$5:$J$180,E$47,物件データ!$H$5:$H$180,"&gt;0"),"")</f>
        <v>0.222133757961783</v>
      </c>
      <c r="F52" s="11" t="str">
        <f aca="false">IFERROR(SUMIFS(物件データ!$M$5:$M$180,物件データ!$L$5:$L$180,1,物件データ!$B$5:$B$180,$A52,物件データ!$J$5:$J$180,F$47,物件データ!$H$5:$H$180,"&gt;0")/SUMIFS(物件データ!$G$5:$G$180,物件データ!$L$5:$L$180,1,物件データ!$B$5:$B$180,$A52,物件データ!$J$5:$J$180,F$47,物件データ!$H$5:$H$180,"&gt;0"),"")</f>
        <v/>
      </c>
      <c r="G52" s="11" t="str">
        <f aca="false">IFERROR(SUMIFS(物件データ!$M$5:$M$180,物件データ!$L$5:$L$180,1,物件データ!$B$5:$B$180,$A52,物件データ!$J$5:$J$180,G$47,物件データ!$H$5:$H$180,"&gt;0")/SUMIFS(物件データ!$G$5:$G$180,物件データ!$L$5:$L$180,1,物件データ!$B$5:$B$180,$A52,物件データ!$J$5:$J$180,G$47,物件データ!$H$5:$H$180,"&gt;0"),"")</f>
        <v/>
      </c>
      <c r="H52" s="19" t="n">
        <f aca="false">IFERROR(SUMIFS(物件データ!$M$5:$M$180,物件データ!$L$5:$L$180,1,物件データ!$B$5:$B$180,$A52,物件データ!$J$5:$J$180,"?*",物件データ!$H$5:$H$180,"&gt;0")/SUMIFS(物件データ!$G$5:$G$180,物件データ!$L$5:$L$180,1,物件データ!$B$5:$B$180,$A52,物件データ!$J$5:$J$180,"?*",物件データ!$H$5:$H$180,"&gt;0"),"")</f>
        <v>0.213366459627329</v>
      </c>
    </row>
    <row r="53" customFormat="false" ht="15" hidden="false" customHeight="false" outlineLevel="0" collapsed="false">
      <c r="A53" s="13" t="s">
        <v>93</v>
      </c>
      <c r="B53" s="11" t="str">
        <f aca="false">IFERROR(SUMIFS(物件データ!$M$5:$M$180,物件データ!$L$5:$L$180,1,物件データ!$B$5:$B$180,$A53,物件データ!$J$5:$J$180,B$47,物件データ!$H$5:$H$180,"&gt;0")/SUMIFS(物件データ!$G$5:$G$180,物件データ!$L$5:$L$180,1,物件データ!$B$5:$B$180,$A53,物件データ!$J$5:$J$180,B$47,物件データ!$H$5:$H$180,"&gt;0"),"")</f>
        <v/>
      </c>
      <c r="C53" s="11" t="str">
        <f aca="false">IFERROR(SUMIFS(物件データ!$M$5:$M$180,物件データ!$L$5:$L$180,1,物件データ!$B$5:$B$180,$A53,物件データ!$J$5:$J$180,C$47,物件データ!$H$5:$H$180,"&gt;0")/SUMIFS(物件データ!$G$5:$G$180,物件データ!$L$5:$L$180,1,物件データ!$B$5:$B$180,$A53,物件データ!$J$5:$J$180,C$47,物件データ!$H$5:$H$180,"&gt;0"),"")</f>
        <v/>
      </c>
      <c r="D53" s="11" t="n">
        <f aca="false">IFERROR(SUMIFS(物件データ!$M$5:$M$180,物件データ!$L$5:$L$180,1,物件データ!$B$5:$B$180,$A53,物件データ!$J$5:$J$180,D$47,物件データ!$H$5:$H$180,"&gt;0")/SUMIFS(物件データ!$G$5:$G$180,物件データ!$L$5:$L$180,1,物件データ!$B$5:$B$180,$A53,物件データ!$J$5:$J$180,D$47,物件データ!$H$5:$H$180,"&gt;0"),"")</f>
        <v>0.25250501002004</v>
      </c>
      <c r="E53" s="11" t="n">
        <f aca="false">IFERROR(SUMIFS(物件データ!$M$5:$M$180,物件データ!$L$5:$L$180,1,物件データ!$B$5:$B$180,$A53,物件データ!$J$5:$J$180,E$47,物件データ!$H$5:$H$180,"&gt;0")/SUMIFS(物件データ!$G$5:$G$180,物件データ!$L$5:$L$180,1,物件データ!$B$5:$B$180,$A53,物件データ!$J$5:$J$180,E$47,物件データ!$H$5:$H$180,"&gt;0"),"")</f>
        <v>0.150587314017228</v>
      </c>
      <c r="F53" s="11" t="n">
        <f aca="false">IFERROR(SUMIFS(物件データ!$M$5:$M$180,物件データ!$L$5:$L$180,1,物件データ!$B$5:$B$180,$A53,物件データ!$J$5:$J$180,F$47,物件データ!$H$5:$H$180,"&gt;0")/SUMIFS(物件データ!$G$5:$G$180,物件データ!$L$5:$L$180,1,物件データ!$B$5:$B$180,$A53,物件データ!$J$5:$J$180,F$47,物件データ!$H$5:$H$180,"&gt;0"),"")</f>
        <v>0.106297578125</v>
      </c>
      <c r="G53" s="11" t="str">
        <f aca="false">IFERROR(SUMIFS(物件データ!$M$5:$M$180,物件データ!$L$5:$L$180,1,物件データ!$B$5:$B$180,$A53,物件データ!$J$5:$J$180,G$47,物件データ!$H$5:$H$180,"&gt;0")/SUMIFS(物件データ!$G$5:$G$180,物件データ!$L$5:$L$180,1,物件データ!$B$5:$B$180,$A53,物件データ!$J$5:$J$180,G$47,物件データ!$H$5:$H$180,"&gt;0"),"")</f>
        <v/>
      </c>
      <c r="H53" s="19" t="n">
        <f aca="false">IFERROR(SUMIFS(物件データ!$M$5:$M$180,物件データ!$L$5:$L$180,1,物件データ!$B$5:$B$180,$A53,物件データ!$J$5:$J$180,"?*",物件データ!$H$5:$H$180,"&gt;0")/SUMIFS(物件データ!$G$5:$G$180,物件データ!$L$5:$L$180,1,物件データ!$B$5:$B$180,$A53,物件データ!$J$5:$J$180,"?*",物件データ!$H$5:$H$180,"&gt;0"),"")</f>
        <v>0.163252011251758</v>
      </c>
    </row>
    <row r="54" customFormat="false" ht="15" hidden="false" customHeight="false" outlineLevel="0" collapsed="false">
      <c r="A54" s="13" t="s">
        <v>69</v>
      </c>
      <c r="B54" s="11" t="str">
        <f aca="false">IFERROR(SUMIFS(物件データ!$M$5:$M$180,物件データ!$L$5:$L$180,1,物件データ!$B$5:$B$180,$A54,物件データ!$J$5:$J$180,B$47,物件データ!$H$5:$H$180,"&gt;0")/SUMIFS(物件データ!$G$5:$G$180,物件データ!$L$5:$L$180,1,物件データ!$B$5:$B$180,$A54,物件データ!$J$5:$J$180,B$47,物件データ!$H$5:$H$180,"&gt;0"),"")</f>
        <v/>
      </c>
      <c r="C54" s="11" t="n">
        <f aca="false">IFERROR(SUMIFS(物件データ!$M$5:$M$180,物件データ!$L$5:$L$180,1,物件データ!$B$5:$B$180,$A54,物件データ!$J$5:$J$180,C$47,物件データ!$H$5:$H$180,"&gt;0")/SUMIFS(物件データ!$G$5:$G$180,物件データ!$L$5:$L$180,1,物件データ!$B$5:$B$180,$A54,物件データ!$J$5:$J$180,C$47,物件データ!$H$5:$H$180,"&gt;0"),"")</f>
        <v>0.193083573487032</v>
      </c>
      <c r="D54" s="11" t="str">
        <f aca="false">IFERROR(SUMIFS(物件データ!$M$5:$M$180,物件データ!$L$5:$L$180,1,物件データ!$B$5:$B$180,$A54,物件データ!$J$5:$J$180,D$47,物件データ!$H$5:$H$180,"&gt;0")/SUMIFS(物件データ!$G$5:$G$180,物件データ!$L$5:$L$180,1,物件データ!$B$5:$B$180,$A54,物件データ!$J$5:$J$180,D$47,物件データ!$H$5:$H$180,"&gt;0"),"")</f>
        <v/>
      </c>
      <c r="E54" s="11" t="n">
        <f aca="false">IFERROR(SUMIFS(物件データ!$M$5:$M$180,物件データ!$L$5:$L$180,1,物件データ!$B$5:$B$180,$A54,物件データ!$J$5:$J$180,E$47,物件データ!$H$5:$H$180,"&gt;0")/SUMIFS(物件データ!$G$5:$G$180,物件データ!$L$5:$L$180,1,物件データ!$B$5:$B$180,$A54,物件データ!$J$5:$J$180,E$47,物件データ!$H$5:$H$180,"&gt;0"),"")</f>
        <v>0.0890909090909091</v>
      </c>
      <c r="F54" s="11" t="n">
        <f aca="false">IFERROR(SUMIFS(物件データ!$M$5:$M$180,物件データ!$L$5:$L$180,1,物件データ!$B$5:$B$180,$A54,物件データ!$J$5:$J$180,F$47,物件データ!$H$5:$H$180,"&gt;0")/SUMIFS(物件データ!$G$5:$G$180,物件データ!$L$5:$L$180,1,物件データ!$B$5:$B$180,$A54,物件データ!$J$5:$J$180,F$47,物件データ!$H$5:$H$180,"&gt;0"),"")</f>
        <v>0.0739130434782609</v>
      </c>
      <c r="G54" s="11" t="str">
        <f aca="false">IFERROR(SUMIFS(物件データ!$M$5:$M$180,物件データ!$L$5:$L$180,1,物件データ!$B$5:$B$180,$A54,物件データ!$J$5:$J$180,G$47,物件データ!$H$5:$H$180,"&gt;0")/SUMIFS(物件データ!$G$5:$G$180,物件データ!$L$5:$L$180,1,物件データ!$B$5:$B$180,$A54,物件データ!$J$5:$J$180,G$47,物件データ!$H$5:$H$180,"&gt;0"),"")</f>
        <v/>
      </c>
      <c r="H54" s="19" t="n">
        <f aca="false">IFERROR(SUMIFS(物件データ!$M$5:$M$180,物件データ!$L$5:$L$180,1,物件データ!$B$5:$B$180,$A54,物件データ!$J$5:$J$180,"?*",物件データ!$H$5:$H$180,"&gt;0")/SUMIFS(物件データ!$G$5:$G$180,物件データ!$L$5:$L$180,1,物件データ!$B$5:$B$180,$A54,物件データ!$J$5:$J$180,"?*",物件データ!$H$5:$H$180,"&gt;0"),"")</f>
        <v>0.117429406037001</v>
      </c>
    </row>
    <row r="55" customFormat="false" ht="15" hidden="false" customHeight="false" outlineLevel="0" collapsed="false">
      <c r="A55" s="15" t="s">
        <v>220</v>
      </c>
      <c r="B55" s="11" t="str">
        <f aca="false">IFERROR(SUMIFS(物件データ!$M$5:$M$180,物件データ!$L$5:$L$180,1,物件データ!$B$5:$B$180,$A55,物件データ!$J$5:$J$180,B$47,物件データ!$H$5:$H$180,"&gt;0")/SUMIFS(物件データ!$G$5:$G$180,物件データ!$L$5:$L$180,1,物件データ!$B$5:$B$180,$A55,物件データ!$J$5:$J$180,B$47,物件データ!$H$5:$H$180,"&gt;0"),"")</f>
        <v/>
      </c>
      <c r="C55" s="11" t="str">
        <f aca="false">IFERROR(SUMIFS(物件データ!$M$5:$M$180,物件データ!$L$5:$L$180,1,物件データ!$B$5:$B$180,$A55,物件データ!$J$5:$J$180,C$47,物件データ!$H$5:$H$180,"&gt;0")/SUMIFS(物件データ!$G$5:$G$180,物件データ!$L$5:$L$180,1,物件データ!$B$5:$B$180,$A55,物件データ!$J$5:$J$180,C$47,物件データ!$H$5:$H$180,"&gt;0"),"")</f>
        <v/>
      </c>
      <c r="D55" s="11" t="str">
        <f aca="false">IFERROR(SUMIFS(物件データ!$M$5:$M$180,物件データ!$L$5:$L$180,1,物件データ!$B$5:$B$180,$A55,物件データ!$J$5:$J$180,D$47,物件データ!$H$5:$H$180,"&gt;0")/SUMIFS(物件データ!$G$5:$G$180,物件データ!$L$5:$L$180,1,物件データ!$B$5:$B$180,$A55,物件データ!$J$5:$J$180,D$47,物件データ!$H$5:$H$180,"&gt;0"),"")</f>
        <v/>
      </c>
      <c r="E55" s="11" t="n">
        <f aca="false">IFERROR(SUMIFS(物件データ!$M$5:$M$180,物件データ!$L$5:$L$180,1,物件データ!$B$5:$B$180,$A55,物件データ!$J$5:$J$180,E$47,物件データ!$H$5:$H$180,"&gt;0")/SUMIFS(物件データ!$G$5:$G$180,物件データ!$L$5:$L$180,1,物件データ!$B$5:$B$180,$A55,物件データ!$J$5:$J$180,E$47,物件データ!$H$5:$H$180,"&gt;0"),"")</f>
        <v>0.130392156862745</v>
      </c>
      <c r="F55" s="11" t="str">
        <f aca="false">IFERROR(SUMIFS(物件データ!$M$5:$M$180,物件データ!$L$5:$L$180,1,物件データ!$B$5:$B$180,$A55,物件データ!$J$5:$J$180,F$47,物件データ!$H$5:$H$180,"&gt;0")/SUMIFS(物件データ!$G$5:$G$180,物件データ!$L$5:$L$180,1,物件データ!$B$5:$B$180,$A55,物件データ!$J$5:$J$180,F$47,物件データ!$H$5:$H$180,"&gt;0"),"")</f>
        <v/>
      </c>
      <c r="G55" s="11" t="str">
        <f aca="false">IFERROR(SUMIFS(物件データ!$M$5:$M$180,物件データ!$L$5:$L$180,1,物件データ!$B$5:$B$180,$A55,物件データ!$J$5:$J$180,G$47,物件データ!$H$5:$H$180,"&gt;0")/SUMIFS(物件データ!$G$5:$G$180,物件データ!$L$5:$L$180,1,物件データ!$B$5:$B$180,$A55,物件データ!$J$5:$J$180,G$47,物件データ!$H$5:$H$180,"&gt;0"),"")</f>
        <v/>
      </c>
      <c r="H55" s="19" t="n">
        <f aca="false">IFERROR(SUMIFS(物件データ!$M$5:$M$180,物件データ!$L$5:$L$180,1,物件データ!$B$5:$B$180,$A55,物件データ!$J$5:$J$180,"?*",物件データ!$H$5:$H$180,"&gt;0")/SUMIFS(物件データ!$G$5:$G$180,物件データ!$L$5:$L$180,1,物件データ!$B$5:$B$180,$A55,物件データ!$J$5:$J$180,"?*",物件データ!$H$5:$H$180,"&gt;0"),"")</f>
        <v>0.130392156862745</v>
      </c>
    </row>
    <row r="56" customFormat="false" ht="15" hidden="false" customHeight="false" outlineLevel="0" collapsed="false">
      <c r="A56" s="15" t="s">
        <v>122</v>
      </c>
      <c r="B56" s="11" t="str">
        <f aca="false">IFERROR(SUMIFS(物件データ!$M$5:$M$180,物件データ!$L$5:$L$180,1,物件データ!$B$5:$B$180,$A56,物件データ!$J$5:$J$180,B$47,物件データ!$H$5:$H$180,"&gt;0")/SUMIFS(物件データ!$G$5:$G$180,物件データ!$L$5:$L$180,1,物件データ!$B$5:$B$180,$A56,物件データ!$J$5:$J$180,B$47,物件データ!$H$5:$H$180,"&gt;0"),"")</f>
        <v/>
      </c>
      <c r="C56" s="11" t="str">
        <f aca="false">IFERROR(SUMIFS(物件データ!$M$5:$M$180,物件データ!$L$5:$L$180,1,物件データ!$B$5:$B$180,$A56,物件データ!$J$5:$J$180,C$47,物件データ!$H$5:$H$180,"&gt;0")/SUMIFS(物件データ!$G$5:$G$180,物件データ!$L$5:$L$180,1,物件データ!$B$5:$B$180,$A56,物件データ!$J$5:$J$180,C$47,物件データ!$H$5:$H$180,"&gt;0"),"")</f>
        <v/>
      </c>
      <c r="D56" s="11" t="str">
        <f aca="false">IFERROR(SUMIFS(物件データ!$M$5:$M$180,物件データ!$L$5:$L$180,1,物件データ!$B$5:$B$180,$A56,物件データ!$J$5:$J$180,D$47,物件データ!$H$5:$H$180,"&gt;0")/SUMIFS(物件データ!$G$5:$G$180,物件データ!$L$5:$L$180,1,物件データ!$B$5:$B$180,$A56,物件データ!$J$5:$J$180,D$47,物件データ!$H$5:$H$180,"&gt;0"),"")</f>
        <v/>
      </c>
      <c r="E56" s="11" t="n">
        <f aca="false">IFERROR(SUMIFS(物件データ!$M$5:$M$180,物件データ!$L$5:$L$180,1,物件データ!$B$5:$B$180,$A56,物件データ!$J$5:$J$180,E$47,物件データ!$H$5:$H$180,"&gt;0")/SUMIFS(物件データ!$G$5:$G$180,物件データ!$L$5:$L$180,1,物件データ!$B$5:$B$180,$A56,物件データ!$J$5:$J$180,E$47,物件データ!$H$5:$H$180,"&gt;0"),"")</f>
        <v>0.24296875</v>
      </c>
      <c r="F56" s="11" t="str">
        <f aca="false">IFERROR(SUMIFS(物件データ!$M$5:$M$180,物件データ!$L$5:$L$180,1,物件データ!$B$5:$B$180,$A56,物件データ!$J$5:$J$180,F$47,物件データ!$H$5:$H$180,"&gt;0")/SUMIFS(物件データ!$G$5:$G$180,物件データ!$L$5:$L$180,1,物件データ!$B$5:$B$180,$A56,物件データ!$J$5:$J$180,F$47,物件データ!$H$5:$H$180,"&gt;0"),"")</f>
        <v/>
      </c>
      <c r="G56" s="11" t="str">
        <f aca="false">IFERROR(SUMIFS(物件データ!$M$5:$M$180,物件データ!$L$5:$L$180,1,物件データ!$B$5:$B$180,$A56,物件データ!$J$5:$J$180,G$47,物件データ!$H$5:$H$180,"&gt;0")/SUMIFS(物件データ!$G$5:$G$180,物件データ!$L$5:$L$180,1,物件データ!$B$5:$B$180,$A56,物件データ!$J$5:$J$180,G$47,物件データ!$H$5:$H$180,"&gt;0"),"")</f>
        <v/>
      </c>
      <c r="H56" s="19" t="n">
        <f aca="false">IFERROR(SUMIFS(物件データ!$M$5:$M$180,物件データ!$L$5:$L$180,1,物件データ!$B$5:$B$180,$A56,物件データ!$J$5:$J$180,"?*",物件データ!$H$5:$H$180,"&gt;0")/SUMIFS(物件データ!$G$5:$G$180,物件データ!$L$5:$L$180,1,物件データ!$B$5:$B$180,$A56,物件データ!$J$5:$J$180,"?*",物件データ!$H$5:$H$180,"&gt;0"),"")</f>
        <v>0.24296875</v>
      </c>
    </row>
    <row r="57" customFormat="false" ht="15" hidden="false" customHeight="false" outlineLevel="0" collapsed="false">
      <c r="A57" s="13" t="s">
        <v>221</v>
      </c>
      <c r="B57" s="11" t="str">
        <f aca="false">IFERROR(SUMIFS(物件データ!$M$5:$M$180,物件データ!$L$5:$L$180,1,物件データ!$B$5:$B$180,$A57,物件データ!$J$5:$J$180,B$47,物件データ!$H$5:$H$180,"&gt;0")/SUMIFS(物件データ!$G$5:$G$180,物件データ!$L$5:$L$180,1,物件データ!$B$5:$B$180,$A57,物件データ!$J$5:$J$180,B$47,物件データ!$H$5:$H$180,"&gt;0"),"")</f>
        <v/>
      </c>
      <c r="C57" s="11" t="str">
        <f aca="false">IFERROR(SUMIFS(物件データ!$M$5:$M$180,物件データ!$L$5:$L$180,1,物件データ!$B$5:$B$180,$A57,物件データ!$J$5:$J$180,C$47,物件データ!$H$5:$H$180,"&gt;0")/SUMIFS(物件データ!$G$5:$G$180,物件データ!$L$5:$L$180,1,物件データ!$B$5:$B$180,$A57,物件データ!$J$5:$J$180,C$47,物件データ!$H$5:$H$180,"&gt;0"),"")</f>
        <v/>
      </c>
      <c r="D57" s="11" t="str">
        <f aca="false">IFERROR(SUMIFS(物件データ!$M$5:$M$180,物件データ!$L$5:$L$180,1,物件データ!$B$5:$B$180,$A57,物件データ!$J$5:$J$180,D$47,物件データ!$H$5:$H$180,"&gt;0")/SUMIFS(物件データ!$G$5:$G$180,物件データ!$L$5:$L$180,1,物件データ!$B$5:$B$180,$A57,物件データ!$J$5:$J$180,D$47,物件データ!$H$5:$H$180,"&gt;0"),"")</f>
        <v/>
      </c>
      <c r="E57" s="11" t="str">
        <f aca="false">IFERROR(SUMIFS(物件データ!$M$5:$M$180,物件データ!$L$5:$L$180,1,物件データ!$B$5:$B$180,$A57,物件データ!$J$5:$J$180,E$47,物件データ!$H$5:$H$180,"&gt;0")/SUMIFS(物件データ!$G$5:$G$180,物件データ!$L$5:$L$180,1,物件データ!$B$5:$B$180,$A57,物件データ!$J$5:$J$180,E$47,物件データ!$H$5:$H$180,"&gt;0"),"")</f>
        <v/>
      </c>
      <c r="F57" s="11" t="n">
        <f aca="false">IFERROR(SUMIFS(物件データ!$M$5:$M$180,物件データ!$L$5:$L$180,1,物件データ!$B$5:$B$180,$A57,物件データ!$J$5:$J$180,F$47,物件データ!$H$5:$H$180,"&gt;0")/SUMIFS(物件データ!$G$5:$G$180,物件データ!$L$5:$L$180,1,物件データ!$B$5:$B$180,$A57,物件データ!$J$5:$J$180,F$47,物件データ!$H$5:$H$180,"&gt;0"),"")</f>
        <v>0.151351351351351</v>
      </c>
      <c r="G57" s="11" t="str">
        <f aca="false">IFERROR(SUMIFS(物件データ!$M$5:$M$180,物件データ!$L$5:$L$180,1,物件データ!$B$5:$B$180,$A57,物件データ!$J$5:$J$180,G$47,物件データ!$H$5:$H$180,"&gt;0")/SUMIFS(物件データ!$G$5:$G$180,物件データ!$L$5:$L$180,1,物件データ!$B$5:$B$180,$A57,物件データ!$J$5:$J$180,G$47,物件データ!$H$5:$H$180,"&gt;0"),"")</f>
        <v/>
      </c>
      <c r="H57" s="19" t="n">
        <f aca="false">IFERROR(SUMIFS(物件データ!$M$5:$M$180,物件データ!$L$5:$L$180,1,物件データ!$B$5:$B$180,$A57,物件データ!$J$5:$J$180,"?*",物件データ!$H$5:$H$180,"&gt;0")/SUMIFS(物件データ!$G$5:$G$180,物件データ!$L$5:$L$180,1,物件データ!$B$5:$B$180,$A57,物件データ!$J$5:$J$180,"?*",物件データ!$H$5:$H$180,"&gt;0"),"")</f>
        <v>0.151351351351351</v>
      </c>
    </row>
    <row r="58" customFormat="false" ht="15" hidden="false" customHeight="false" outlineLevel="0" collapsed="false">
      <c r="A58" s="16" t="s">
        <v>218</v>
      </c>
      <c r="B58" s="19" t="n">
        <f aca="false">IFERROR(SUMIFS(物件データ!$M$5:$M$180,物件データ!$L$5:$L$180,1,物件データ!$J$5:$J$180,B$47,物件データ!$H$5:$H$180,"&gt;0")/SUMIFS(物件データ!$G$5:$G$180,物件データ!$L$5:$L$180,1,物件データ!$J$5:$J$180,B$47,物件データ!$H$5:$H$180,"&gt;0"),"")</f>
        <v>0.170967696130635</v>
      </c>
      <c r="C58" s="19" t="n">
        <f aca="false">IFERROR(SUMIFS(物件データ!$M$5:$M$180,物件データ!$L$5:$L$180,1,物件データ!$J$5:$J$180,C$47,物件データ!$H$5:$H$180,"&gt;0")/SUMIFS(物件データ!$G$5:$G$180,物件データ!$L$5:$L$180,1,物件データ!$J$5:$J$180,C$47,物件データ!$H$5:$H$180,"&gt;0"),"")</f>
        <v>0.150355218358757</v>
      </c>
      <c r="D58" s="19" t="n">
        <f aca="false">IFERROR(SUMIFS(物件データ!$M$5:$M$180,物件データ!$L$5:$L$180,1,物件データ!$J$5:$J$180,D$47,物件データ!$H$5:$H$180,"&gt;0")/SUMIFS(物件データ!$G$5:$G$180,物件データ!$L$5:$L$180,1,物件データ!$J$5:$J$180,D$47,物件データ!$H$5:$H$180,"&gt;0"),"")</f>
        <v>0.169865280075632</v>
      </c>
      <c r="E58" s="19" t="n">
        <f aca="false">IFERROR(SUMIFS(物件データ!$M$5:$M$180,物件データ!$L$5:$L$180,1,物件データ!$J$5:$J$180,E$47,物件データ!$H$5:$H$180,"&gt;0")/SUMIFS(物件データ!$G$5:$G$180,物件データ!$L$5:$L$180,1,物件データ!$J$5:$J$180,E$47,物件データ!$H$5:$H$180,"&gt;0"),"")</f>
        <v>0.154144445588387</v>
      </c>
      <c r="F58" s="19" t="n">
        <f aca="false">IFERROR(SUMIFS(物件データ!$M$5:$M$180,物件データ!$L$5:$L$180,1,物件データ!$J$5:$J$180,F$47,物件データ!$H$5:$H$180,"&gt;0")/SUMIFS(物件データ!$G$5:$G$180,物件データ!$L$5:$L$180,1,物件データ!$J$5:$J$180,F$47,物件データ!$H$5:$H$180,"&gt;0"),"")</f>
        <v>0.178502951938639</v>
      </c>
      <c r="G58" s="19" t="n">
        <f aca="false">IFERROR(SUMIFS(物件データ!$M$5:$M$180,物件データ!$L$5:$L$180,1,物件データ!$J$5:$J$180,G$47,物件データ!$H$5:$H$180,"&gt;0")/SUMIFS(物件データ!$G$5:$G$180,物件データ!$L$5:$L$180,1,物件データ!$J$5:$J$180,G$47,物件データ!$H$5:$H$180,"&gt;0"),"")</f>
        <v>0.0546033961386369</v>
      </c>
      <c r="H58" s="19" t="n">
        <f aca="false">IFERROR(SUMIFS(物件データ!$M$5:$M$180,物件データ!$L$5:$L$180,1,物件データ!$J$5:$J$180,"?*",物件データ!$H$5:$H$180,"&gt;0")/SUMIFS(物件データ!$G$5:$G$180,物件データ!$L$5:$L$180,1,物件データ!$J$5:$J$180,"?*",物件データ!$H$5:$H$180,"&gt;0"),"")</f>
        <v>0.158096189246649</v>
      </c>
    </row>
    <row r="60" customFormat="false" ht="15" hidden="false" customHeight="false" outlineLevel="0" collapsed="false">
      <c r="A60" s="18" t="s">
        <v>228</v>
      </c>
    </row>
    <row r="61" customFormat="false" ht="15" hidden="false" customHeight="false" outlineLevel="0" collapsed="false">
      <c r="A61" s="4" t="s">
        <v>3</v>
      </c>
      <c r="B61" s="3" t="s">
        <v>212</v>
      </c>
      <c r="C61" s="3" t="s">
        <v>213</v>
      </c>
      <c r="D61" s="3" t="s">
        <v>214</v>
      </c>
      <c r="E61" s="3" t="s">
        <v>215</v>
      </c>
      <c r="F61" s="3" t="s">
        <v>216</v>
      </c>
      <c r="G61" s="3" t="s">
        <v>217</v>
      </c>
      <c r="H61" s="4" t="s">
        <v>218</v>
      </c>
    </row>
    <row r="62" customFormat="false" ht="15" hidden="false" customHeight="false" outlineLevel="0" collapsed="false">
      <c r="A62" s="13" t="s">
        <v>23</v>
      </c>
      <c r="B62" s="10" t="n">
        <f aca="false">IFERROR(AVERAGEIFS(物件データ!$O$5:$O$180,物件データ!$L$5:$L$180,1,物件データ!$B$5:$B$180,$A62,物件データ!$J$5:$J$180,B$61,物件データ!$O$5:$O$180,"&gt;=0"),"")</f>
        <v>311.941176470588</v>
      </c>
      <c r="C62" s="10" t="n">
        <f aca="false">IFERROR(AVERAGEIFS(物件データ!$O$5:$O$180,物件データ!$L$5:$L$180,1,物件データ!$B$5:$B$180,$A62,物件データ!$J$5:$J$180,C$61,物件データ!$O$5:$O$180,"&gt;=0"),"")</f>
        <v>342.470588235294</v>
      </c>
      <c r="D62" s="10" t="n">
        <f aca="false">IFERROR(AVERAGEIFS(物件データ!$O$5:$O$180,物件データ!$L$5:$L$180,1,物件データ!$B$5:$B$180,$A62,物件データ!$J$5:$J$180,D$61,物件データ!$O$5:$O$180,"&gt;=0"),"")</f>
        <v>291.5</v>
      </c>
      <c r="E62" s="10" t="n">
        <f aca="false">IFERROR(AVERAGEIFS(物件データ!$O$5:$O$180,物件データ!$L$5:$L$180,1,物件データ!$B$5:$B$180,$A62,物件データ!$J$5:$J$180,E$61,物件データ!$O$5:$O$180,"&gt;=0"),"")</f>
        <v>438.076923076923</v>
      </c>
      <c r="F62" s="10" t="n">
        <f aca="false">IFERROR(AVERAGEIFS(物件データ!$O$5:$O$180,物件データ!$L$5:$L$180,1,物件データ!$B$5:$B$180,$A62,物件データ!$J$5:$J$180,F$61,物件データ!$O$5:$O$180,"&gt;=0"),"")</f>
        <v>410.285714285714</v>
      </c>
      <c r="G62" s="10" t="n">
        <f aca="false">IFERROR(AVERAGEIFS(物件データ!$O$5:$O$180,物件データ!$L$5:$L$180,1,物件データ!$B$5:$B$180,$A62,物件データ!$J$5:$J$180,G$61,物件データ!$O$5:$O$180,"&gt;=0"),"")</f>
        <v>342</v>
      </c>
      <c r="H62" s="14" t="n">
        <f aca="false">IFERROR(AVERAGEIFS(物件データ!$O$5:$O$180,物件データ!$L$5:$L$180,1,物件データ!$B$5:$B$180,$A62,物件データ!$J$5:$J$180,"?*",物件データ!$O$5:$O$180,"&gt;=0"),"")</f>
        <v>358.754098360656</v>
      </c>
    </row>
    <row r="63" customFormat="false" ht="15" hidden="false" customHeight="false" outlineLevel="0" collapsed="false">
      <c r="A63" s="13" t="s">
        <v>42</v>
      </c>
      <c r="B63" s="10" t="n">
        <f aca="false">IFERROR(AVERAGEIFS(物件データ!$O$5:$O$180,物件データ!$L$5:$L$180,1,物件データ!$B$5:$B$180,$A63,物件データ!$J$5:$J$180,B$61,物件データ!$O$5:$O$180,"&gt;=0"),"")</f>
        <v>129</v>
      </c>
      <c r="C63" s="10" t="n">
        <f aca="false">IFERROR(AVERAGEIFS(物件データ!$O$5:$O$180,物件データ!$L$5:$L$180,1,物件データ!$B$5:$B$180,$A63,物件データ!$J$5:$J$180,C$61,物件データ!$O$5:$O$180,"&gt;=0"),"")</f>
        <v>216.333333333333</v>
      </c>
      <c r="D63" s="10" t="str">
        <f aca="false">IFERROR(AVERAGEIFS(物件データ!$O$5:$O$180,物件データ!$L$5:$L$180,1,物件データ!$B$5:$B$180,$A63,物件データ!$J$5:$J$180,D$61,物件データ!$O$5:$O$180,"&gt;=0"),"")</f>
        <v/>
      </c>
      <c r="E63" s="10" t="n">
        <f aca="false">IFERROR(AVERAGEIFS(物件データ!$O$5:$O$180,物件データ!$L$5:$L$180,1,物件データ!$B$5:$B$180,$A63,物件データ!$J$5:$J$180,E$61,物件データ!$O$5:$O$180,"&gt;=0"),"")</f>
        <v>155.5</v>
      </c>
      <c r="F63" s="10" t="n">
        <f aca="false">IFERROR(AVERAGEIFS(物件データ!$O$5:$O$180,物件データ!$L$5:$L$180,1,物件データ!$B$5:$B$180,$A63,物件データ!$J$5:$J$180,F$61,物件データ!$O$5:$O$180,"&gt;=0"),"")</f>
        <v>100.8</v>
      </c>
      <c r="G63" s="10" t="n">
        <f aca="false">IFERROR(AVERAGEIFS(物件データ!$O$5:$O$180,物件データ!$L$5:$L$180,1,物件データ!$B$5:$B$180,$A63,物件データ!$J$5:$J$180,G$61,物件データ!$O$5:$O$180,"&gt;=0"),"")</f>
        <v>247</v>
      </c>
      <c r="H63" s="14" t="n">
        <f aca="false">IFERROR(AVERAGEIFS(物件データ!$O$5:$O$180,物件データ!$L$5:$L$180,1,物件データ!$B$5:$B$180,$A63,物件データ!$J$5:$J$180,"?*",物件データ!$O$5:$O$180,"&gt;=0"),"")</f>
        <v>144.333333333333</v>
      </c>
    </row>
    <row r="64" customFormat="false" ht="15" hidden="false" customHeight="false" outlineLevel="0" collapsed="false">
      <c r="A64" s="15" t="s">
        <v>219</v>
      </c>
      <c r="B64" s="10" t="n">
        <f aca="false">IFERROR(AVERAGEIFS(物件データ!$O$5:$O$180,物件データ!$L$5:$L$180,1,物件データ!$B$5:$B$180,$A64,物件データ!$J$5:$J$180,B$61,物件データ!$O$5:$O$180,"&gt;=0"),"")</f>
        <v>233.5</v>
      </c>
      <c r="C64" s="10" t="n">
        <f aca="false">IFERROR(AVERAGEIFS(物件データ!$O$5:$O$180,物件データ!$L$5:$L$180,1,物件データ!$B$5:$B$180,$A64,物件データ!$J$5:$J$180,C$61,物件データ!$O$5:$O$180,"&gt;=0"),"")</f>
        <v>178.2</v>
      </c>
      <c r="D64" s="10" t="str">
        <f aca="false">IFERROR(AVERAGEIFS(物件データ!$O$5:$O$180,物件データ!$L$5:$L$180,1,物件データ!$B$5:$B$180,$A64,物件データ!$J$5:$J$180,D$61,物件データ!$O$5:$O$180,"&gt;=0"),"")</f>
        <v/>
      </c>
      <c r="E64" s="10" t="n">
        <f aca="false">IFERROR(AVERAGEIFS(物件データ!$O$5:$O$180,物件データ!$L$5:$L$180,1,物件データ!$B$5:$B$180,$A64,物件データ!$J$5:$J$180,E$61,物件データ!$O$5:$O$180,"&gt;=0"),"")</f>
        <v>406</v>
      </c>
      <c r="F64" s="10" t="n">
        <f aca="false">IFERROR(AVERAGEIFS(物件データ!$O$5:$O$180,物件データ!$L$5:$L$180,1,物件データ!$B$5:$B$180,$A64,物件データ!$J$5:$J$180,F$61,物件データ!$O$5:$O$180,"&gt;=0"),"")</f>
        <v>148</v>
      </c>
      <c r="G64" s="10" t="n">
        <f aca="false">IFERROR(AVERAGEIFS(物件データ!$O$5:$O$180,物件データ!$L$5:$L$180,1,物件データ!$B$5:$B$180,$A64,物件データ!$J$5:$J$180,G$61,物件データ!$O$5:$O$180,"&gt;=0"),"")</f>
        <v>122</v>
      </c>
      <c r="H64" s="14" t="n">
        <f aca="false">IFERROR(AVERAGEIFS(物件データ!$O$5:$O$180,物件データ!$L$5:$L$180,1,物件データ!$B$5:$B$180,$A64,物件データ!$J$5:$J$180,"?*",物件データ!$O$5:$O$180,"&gt;=0"),"")</f>
        <v>231.277777777778</v>
      </c>
    </row>
    <row r="65" customFormat="false" ht="15" hidden="false" customHeight="false" outlineLevel="0" collapsed="false">
      <c r="A65" s="13" t="s">
        <v>26</v>
      </c>
      <c r="B65" s="10" t="n">
        <f aca="false">IFERROR(AVERAGEIFS(物件データ!$O$5:$O$180,物件データ!$L$5:$L$180,1,物件データ!$B$5:$B$180,$A65,物件データ!$J$5:$J$180,B$61,物件データ!$O$5:$O$180,"&gt;=0"),"")</f>
        <v>176.75</v>
      </c>
      <c r="C65" s="10" t="n">
        <f aca="false">IFERROR(AVERAGEIFS(物件データ!$O$5:$O$180,物件データ!$L$5:$L$180,1,物件データ!$B$5:$B$180,$A65,物件データ!$J$5:$J$180,C$61,物件データ!$O$5:$O$180,"&gt;=0"),"")</f>
        <v>234.666666666667</v>
      </c>
      <c r="D65" s="10" t="n">
        <f aca="false">IFERROR(AVERAGEIFS(物件データ!$O$5:$O$180,物件データ!$L$5:$L$180,1,物件データ!$B$5:$B$180,$A65,物件データ!$J$5:$J$180,D$61,物件データ!$O$5:$O$180,"&gt;=0"),"")</f>
        <v>122</v>
      </c>
      <c r="E65" s="10" t="n">
        <f aca="false">IFERROR(AVERAGEIFS(物件データ!$O$5:$O$180,物件データ!$L$5:$L$180,1,物件データ!$B$5:$B$180,$A65,物件データ!$J$5:$J$180,E$61,物件データ!$O$5:$O$180,"&gt;=0"),"")</f>
        <v>107.666666666667</v>
      </c>
      <c r="F65" s="10" t="n">
        <f aca="false">IFERROR(AVERAGEIFS(物件データ!$O$5:$O$180,物件データ!$L$5:$L$180,1,物件データ!$B$5:$B$180,$A65,物件データ!$J$5:$J$180,F$61,物件データ!$O$5:$O$180,"&gt;=0"),"")</f>
        <v>248.666666666667</v>
      </c>
      <c r="G65" s="10" t="str">
        <f aca="false">IFERROR(AVERAGEIFS(物件データ!$O$5:$O$180,物件データ!$L$5:$L$180,1,物件データ!$B$5:$B$180,$A65,物件データ!$J$5:$J$180,G$61,物件データ!$O$5:$O$180,"&gt;=0"),"")</f>
        <v/>
      </c>
      <c r="H65" s="14" t="n">
        <f aca="false">IFERROR(AVERAGEIFS(物件データ!$O$5:$O$180,物件データ!$L$5:$L$180,1,物件データ!$B$5:$B$180,$A65,物件データ!$J$5:$J$180,"?*",物件データ!$O$5:$O$180,"&gt;=0"),"")</f>
        <v>185.857142857143</v>
      </c>
    </row>
    <row r="66" customFormat="false" ht="15" hidden="false" customHeight="false" outlineLevel="0" collapsed="false">
      <c r="A66" s="13" t="s">
        <v>50</v>
      </c>
      <c r="B66" s="10" t="n">
        <f aca="false">IFERROR(AVERAGEIFS(物件データ!$O$5:$O$180,物件データ!$L$5:$L$180,1,物件データ!$B$5:$B$180,$A66,物件データ!$J$5:$J$180,B$61,物件データ!$O$5:$O$180,"&gt;=0"),"")</f>
        <v>214</v>
      </c>
      <c r="C66" s="10" t="n">
        <f aca="false">IFERROR(AVERAGEIFS(物件データ!$O$5:$O$180,物件データ!$L$5:$L$180,1,物件データ!$B$5:$B$180,$A66,物件データ!$J$5:$J$180,C$61,物件データ!$O$5:$O$180,"&gt;=0"),"")</f>
        <v>427</v>
      </c>
      <c r="D66" s="10" t="str">
        <f aca="false">IFERROR(AVERAGEIFS(物件データ!$O$5:$O$180,物件データ!$L$5:$L$180,1,物件データ!$B$5:$B$180,$A66,物件データ!$J$5:$J$180,D$61,物件データ!$O$5:$O$180,"&gt;=0"),"")</f>
        <v/>
      </c>
      <c r="E66" s="10" t="n">
        <f aca="false">IFERROR(AVERAGEIFS(物件データ!$O$5:$O$180,物件データ!$L$5:$L$180,1,物件データ!$B$5:$B$180,$A66,物件データ!$J$5:$J$180,E$61,物件データ!$O$5:$O$180,"&gt;=0"),"")</f>
        <v>91.6666666666667</v>
      </c>
      <c r="F66" s="10" t="str">
        <f aca="false">IFERROR(AVERAGEIFS(物件データ!$O$5:$O$180,物件データ!$L$5:$L$180,1,物件データ!$B$5:$B$180,$A66,物件データ!$J$5:$J$180,F$61,物件データ!$O$5:$O$180,"&gt;=0"),"")</f>
        <v/>
      </c>
      <c r="G66" s="10" t="str">
        <f aca="false">IFERROR(AVERAGEIFS(物件データ!$O$5:$O$180,物件データ!$L$5:$L$180,1,物件データ!$B$5:$B$180,$A66,物件データ!$J$5:$J$180,G$61,物件データ!$O$5:$O$180,"&gt;=0"),"")</f>
        <v/>
      </c>
      <c r="H66" s="14" t="n">
        <f aca="false">IFERROR(AVERAGEIFS(物件データ!$O$5:$O$180,物件データ!$L$5:$L$180,1,物件データ!$B$5:$B$180,$A66,物件データ!$J$5:$J$180,"?*",物件データ!$O$5:$O$180,"&gt;=0"),"")</f>
        <v>188.333333333333</v>
      </c>
    </row>
    <row r="67" customFormat="false" ht="15" hidden="false" customHeight="false" outlineLevel="0" collapsed="false">
      <c r="A67" s="13" t="s">
        <v>93</v>
      </c>
      <c r="B67" s="10" t="str">
        <f aca="false">IFERROR(AVERAGEIFS(物件データ!$O$5:$O$180,物件データ!$L$5:$L$180,1,物件データ!$B$5:$B$180,$A67,物件データ!$J$5:$J$180,B$61,物件データ!$O$5:$O$180,"&gt;=0"),"")</f>
        <v/>
      </c>
      <c r="C67" s="10" t="str">
        <f aca="false">IFERROR(AVERAGEIFS(物件データ!$O$5:$O$180,物件データ!$L$5:$L$180,1,物件データ!$B$5:$B$180,$A67,物件データ!$J$5:$J$180,C$61,物件データ!$O$5:$O$180,"&gt;=0"),"")</f>
        <v/>
      </c>
      <c r="D67" s="10" t="n">
        <f aca="false">IFERROR(AVERAGEIFS(物件データ!$O$5:$O$180,物件データ!$L$5:$L$180,1,物件データ!$B$5:$B$180,$A67,物件データ!$J$5:$J$180,D$61,物件データ!$O$5:$O$180,"&gt;=0"),"")</f>
        <v>253</v>
      </c>
      <c r="E67" s="10" t="n">
        <f aca="false">IFERROR(AVERAGEIFS(物件データ!$O$5:$O$180,物件データ!$L$5:$L$180,1,物件データ!$B$5:$B$180,$A67,物件データ!$J$5:$J$180,E$61,物件データ!$O$5:$O$180,"&gt;=0"),"")</f>
        <v>281.666666666667</v>
      </c>
      <c r="F67" s="10" t="n">
        <f aca="false">IFERROR(AVERAGEIFS(物件データ!$O$5:$O$180,物件データ!$L$5:$L$180,1,物件データ!$B$5:$B$180,$A67,物件データ!$J$5:$J$180,F$61,物件データ!$O$5:$O$180,"&gt;=0"),"")</f>
        <v>752</v>
      </c>
      <c r="G67" s="10" t="str">
        <f aca="false">IFERROR(AVERAGEIFS(物件データ!$O$5:$O$180,物件データ!$L$5:$L$180,1,物件データ!$B$5:$B$180,$A67,物件データ!$J$5:$J$180,G$61,物件データ!$O$5:$O$180,"&gt;=0"),"")</f>
        <v/>
      </c>
      <c r="H67" s="14" t="n">
        <f aca="false">IFERROR(AVERAGEIFS(物件データ!$O$5:$O$180,物件データ!$L$5:$L$180,1,物件データ!$B$5:$B$180,$A67,物件データ!$J$5:$J$180,"?*",物件データ!$O$5:$O$180,"&gt;=0"),"")</f>
        <v>370</v>
      </c>
    </row>
    <row r="68" customFormat="false" ht="15" hidden="false" customHeight="false" outlineLevel="0" collapsed="false">
      <c r="A68" s="13" t="s">
        <v>69</v>
      </c>
      <c r="B68" s="10" t="str">
        <f aca="false">IFERROR(AVERAGEIFS(物件データ!$O$5:$O$180,物件データ!$L$5:$L$180,1,物件データ!$B$5:$B$180,$A68,物件データ!$J$5:$J$180,B$61,物件データ!$O$5:$O$180,"&gt;=0"),"")</f>
        <v/>
      </c>
      <c r="C68" s="10" t="n">
        <f aca="false">IFERROR(AVERAGEIFS(物件データ!$O$5:$O$180,物件データ!$L$5:$L$180,1,物件データ!$B$5:$B$180,$A68,物件データ!$J$5:$J$180,C$61,物件データ!$O$5:$O$180,"&gt;=0"),"")</f>
        <v>240</v>
      </c>
      <c r="D68" s="10" t="str">
        <f aca="false">IFERROR(AVERAGEIFS(物件データ!$O$5:$O$180,物件データ!$L$5:$L$180,1,物件データ!$B$5:$B$180,$A68,物件データ!$J$5:$J$180,D$61,物件データ!$O$5:$O$180,"&gt;=0"),"")</f>
        <v/>
      </c>
      <c r="E68" s="10" t="n">
        <f aca="false">IFERROR(AVERAGEIFS(物件データ!$O$5:$O$180,物件データ!$L$5:$L$180,1,物件データ!$B$5:$B$180,$A68,物件データ!$J$5:$J$180,E$61,物件データ!$O$5:$O$180,"&gt;=0"),"")</f>
        <v>0</v>
      </c>
      <c r="F68" s="10" t="n">
        <f aca="false">IFERROR(AVERAGEIFS(物件データ!$O$5:$O$180,物件データ!$L$5:$L$180,1,物件データ!$B$5:$B$180,$A68,物件データ!$J$5:$J$180,F$61,物件データ!$O$5:$O$180,"&gt;=0"),"")</f>
        <v>422</v>
      </c>
      <c r="G68" s="10" t="str">
        <f aca="false">IFERROR(AVERAGEIFS(物件データ!$O$5:$O$180,物件データ!$L$5:$L$180,1,物件データ!$B$5:$B$180,$A68,物件データ!$J$5:$J$180,G$61,物件データ!$O$5:$O$180,"&gt;=0"),"")</f>
        <v/>
      </c>
      <c r="H68" s="14" t="n">
        <f aca="false">IFERROR(AVERAGEIFS(物件データ!$O$5:$O$180,物件データ!$L$5:$L$180,1,物件データ!$B$5:$B$180,$A68,物件データ!$J$5:$J$180,"?*",物件データ!$O$5:$O$180,"&gt;=0"),"")</f>
        <v>225.5</v>
      </c>
    </row>
    <row r="69" customFormat="false" ht="15" hidden="false" customHeight="false" outlineLevel="0" collapsed="false">
      <c r="A69" s="15" t="s">
        <v>220</v>
      </c>
      <c r="B69" s="10" t="str">
        <f aca="false">IFERROR(AVERAGEIFS(物件データ!$O$5:$O$180,物件データ!$L$5:$L$180,1,物件データ!$B$5:$B$180,$A69,物件データ!$J$5:$J$180,B$61,物件データ!$O$5:$O$180,"&gt;=0"),"")</f>
        <v/>
      </c>
      <c r="C69" s="10" t="n">
        <f aca="false">IFERROR(AVERAGEIFS(物件データ!$O$5:$O$180,物件データ!$L$5:$L$180,1,物件データ!$B$5:$B$180,$A69,物件データ!$J$5:$J$180,C$61,物件データ!$O$5:$O$180,"&gt;=0"),"")</f>
        <v>472</v>
      </c>
      <c r="D69" s="10" t="str">
        <f aca="false">IFERROR(AVERAGEIFS(物件データ!$O$5:$O$180,物件データ!$L$5:$L$180,1,物件データ!$B$5:$B$180,$A69,物件データ!$J$5:$J$180,D$61,物件データ!$O$5:$O$180,"&gt;=0"),"")</f>
        <v/>
      </c>
      <c r="E69" s="10" t="n">
        <f aca="false">IFERROR(AVERAGEIFS(物件データ!$O$5:$O$180,物件データ!$L$5:$L$180,1,物件データ!$B$5:$B$180,$A69,物件データ!$J$5:$J$180,E$61,物件データ!$O$5:$O$180,"&gt;=0"),"")</f>
        <v>28</v>
      </c>
      <c r="F69" s="10" t="str">
        <f aca="false">IFERROR(AVERAGEIFS(物件データ!$O$5:$O$180,物件データ!$L$5:$L$180,1,物件データ!$B$5:$B$180,$A69,物件データ!$J$5:$J$180,F$61,物件データ!$O$5:$O$180,"&gt;=0"),"")</f>
        <v/>
      </c>
      <c r="G69" s="10" t="str">
        <f aca="false">IFERROR(AVERAGEIFS(物件データ!$O$5:$O$180,物件データ!$L$5:$L$180,1,物件データ!$B$5:$B$180,$A69,物件データ!$J$5:$J$180,G$61,物件データ!$O$5:$O$180,"&gt;=0"),"")</f>
        <v/>
      </c>
      <c r="H69" s="14" t="n">
        <f aca="false">IFERROR(AVERAGEIFS(物件データ!$O$5:$O$180,物件データ!$L$5:$L$180,1,物件データ!$B$5:$B$180,$A69,物件データ!$J$5:$J$180,"?*",物件データ!$O$5:$O$180,"&gt;=0"),"")</f>
        <v>250</v>
      </c>
    </row>
    <row r="70" customFormat="false" ht="15" hidden="false" customHeight="false" outlineLevel="0" collapsed="false">
      <c r="A70" s="15" t="s">
        <v>122</v>
      </c>
      <c r="B70" s="10" t="str">
        <f aca="false">IFERROR(AVERAGEIFS(物件データ!$O$5:$O$180,物件データ!$L$5:$L$180,1,物件データ!$B$5:$B$180,$A70,物件データ!$J$5:$J$180,B$61,物件データ!$O$5:$O$180,"&gt;=0"),"")</f>
        <v/>
      </c>
      <c r="C70" s="10" t="str">
        <f aca="false">IFERROR(AVERAGEIFS(物件データ!$O$5:$O$180,物件データ!$L$5:$L$180,1,物件データ!$B$5:$B$180,$A70,物件データ!$J$5:$J$180,C$61,物件データ!$O$5:$O$180,"&gt;=0"),"")</f>
        <v/>
      </c>
      <c r="D70" s="10" t="str">
        <f aca="false">IFERROR(AVERAGEIFS(物件データ!$O$5:$O$180,物件データ!$L$5:$L$180,1,物件データ!$B$5:$B$180,$A70,物件データ!$J$5:$J$180,D$61,物件データ!$O$5:$O$180,"&gt;=0"),"")</f>
        <v/>
      </c>
      <c r="E70" s="10" t="n">
        <f aca="false">IFERROR(AVERAGEIFS(物件データ!$O$5:$O$180,物件データ!$L$5:$L$180,1,物件データ!$B$5:$B$180,$A70,物件データ!$J$5:$J$180,E$61,物件データ!$O$5:$O$180,"&gt;=0"),"")</f>
        <v>446</v>
      </c>
      <c r="F70" s="10" t="str">
        <f aca="false">IFERROR(AVERAGEIFS(物件データ!$O$5:$O$180,物件データ!$L$5:$L$180,1,物件データ!$B$5:$B$180,$A70,物件データ!$J$5:$J$180,F$61,物件データ!$O$5:$O$180,"&gt;=0"),"")</f>
        <v/>
      </c>
      <c r="G70" s="10" t="str">
        <f aca="false">IFERROR(AVERAGEIFS(物件データ!$O$5:$O$180,物件データ!$L$5:$L$180,1,物件データ!$B$5:$B$180,$A70,物件データ!$J$5:$J$180,G$61,物件データ!$O$5:$O$180,"&gt;=0"),"")</f>
        <v/>
      </c>
      <c r="H70" s="14" t="n">
        <f aca="false">IFERROR(AVERAGEIFS(物件データ!$O$5:$O$180,物件データ!$L$5:$L$180,1,物件データ!$B$5:$B$180,$A70,物件データ!$J$5:$J$180,"?*",物件データ!$O$5:$O$180,"&gt;=0"),"")</f>
        <v>446</v>
      </c>
    </row>
    <row r="71" customFormat="false" ht="15" hidden="false" customHeight="false" outlineLevel="0" collapsed="false">
      <c r="A71" s="13" t="s">
        <v>221</v>
      </c>
      <c r="B71" s="10" t="str">
        <f aca="false">IFERROR(AVERAGEIFS(物件データ!$O$5:$O$180,物件データ!$L$5:$L$180,1,物件データ!$B$5:$B$180,$A71,物件データ!$J$5:$J$180,B$61,物件データ!$O$5:$O$180,"&gt;=0"),"")</f>
        <v/>
      </c>
      <c r="C71" s="10" t="str">
        <f aca="false">IFERROR(AVERAGEIFS(物件データ!$O$5:$O$180,物件データ!$L$5:$L$180,1,物件データ!$B$5:$B$180,$A71,物件データ!$J$5:$J$180,C$61,物件データ!$O$5:$O$180,"&gt;=0"),"")</f>
        <v/>
      </c>
      <c r="D71" s="10" t="str">
        <f aca="false">IFERROR(AVERAGEIFS(物件データ!$O$5:$O$180,物件データ!$L$5:$L$180,1,物件データ!$B$5:$B$180,$A71,物件データ!$J$5:$J$180,D$61,物件データ!$O$5:$O$180,"&gt;=0"),"")</f>
        <v/>
      </c>
      <c r="E71" s="10" t="str">
        <f aca="false">IFERROR(AVERAGEIFS(物件データ!$O$5:$O$180,物件データ!$L$5:$L$180,1,物件データ!$B$5:$B$180,$A71,物件データ!$J$5:$J$180,E$61,物件データ!$O$5:$O$180,"&gt;=0"),"")</f>
        <v/>
      </c>
      <c r="F71" s="10" t="n">
        <f aca="false">IFERROR(AVERAGEIFS(物件データ!$O$5:$O$180,物件データ!$L$5:$L$180,1,物件データ!$B$5:$B$180,$A71,物件データ!$J$5:$J$180,F$61,物件データ!$O$5:$O$180,"&gt;=0"),"")</f>
        <v>362</v>
      </c>
      <c r="G71" s="10" t="str">
        <f aca="false">IFERROR(AVERAGEIFS(物件データ!$O$5:$O$180,物件データ!$L$5:$L$180,1,物件データ!$B$5:$B$180,$A71,物件データ!$J$5:$J$180,G$61,物件データ!$O$5:$O$180,"&gt;=0"),"")</f>
        <v/>
      </c>
      <c r="H71" s="14" t="n">
        <f aca="false">IFERROR(AVERAGEIFS(物件データ!$O$5:$O$180,物件データ!$L$5:$L$180,1,物件データ!$B$5:$B$180,$A71,物件データ!$J$5:$J$180,"?*",物件データ!$O$5:$O$180,"&gt;=0"),"")</f>
        <v>362</v>
      </c>
    </row>
    <row r="72" customFormat="false" ht="15" hidden="false" customHeight="false" outlineLevel="0" collapsed="false">
      <c r="A72" s="16" t="s">
        <v>218</v>
      </c>
      <c r="B72" s="14" t="n">
        <f aca="false">IFERROR(AVERAGEIFS(物件データ!$O$5:$O$180,物件データ!$L$5:$L$180,1,物件データ!$J$5:$J$180,B$61,物件データ!$O$5:$O$180,"&gt;=0"),"")</f>
        <v>263.103448275862</v>
      </c>
      <c r="C72" s="14" t="n">
        <f aca="false">IFERROR(AVERAGEIFS(物件データ!$O$5:$O$180,物件データ!$L$5:$L$180,1,物件データ!$J$5:$J$180,C$61,物件データ!$O$5:$O$180,"&gt;=0"),"")</f>
        <v>295.15625</v>
      </c>
      <c r="D72" s="14" t="n">
        <f aca="false">IFERROR(AVERAGEIFS(物件データ!$O$5:$O$180,物件データ!$L$5:$L$180,1,物件データ!$J$5:$J$180,D$61,物件データ!$O$5:$O$180,"&gt;=0"),"")</f>
        <v>256.833333333333</v>
      </c>
      <c r="E72" s="14" t="n">
        <f aca="false">IFERROR(AVERAGEIFS(物件データ!$O$5:$O$180,物件データ!$L$5:$L$180,1,物件データ!$J$5:$J$180,E$61,物件データ!$O$5:$O$180,"&gt;=0"),"")</f>
        <v>298.727272727273</v>
      </c>
      <c r="F72" s="14" t="n">
        <f aca="false">IFERROR(AVERAGEIFS(物件データ!$O$5:$O$180,物件データ!$L$5:$L$180,1,物件データ!$J$5:$J$180,F$61,物件データ!$O$5:$O$180,"&gt;=0"),"")</f>
        <v>250.148148148148</v>
      </c>
      <c r="G72" s="14" t="n">
        <f aca="false">IFERROR(AVERAGEIFS(物件データ!$O$5:$O$180,物件データ!$L$5:$L$180,1,物件データ!$J$5:$J$180,G$61,物件データ!$O$5:$O$180,"&gt;=0"),"")</f>
        <v>273.666666666667</v>
      </c>
      <c r="H72" s="14" t="n">
        <f aca="false">IFERROR(AVERAGEIFS(物件データ!$O$5:$O$180,物件データ!$L$5:$L$180,1,物件データ!$J$5:$J$180,"?*",物件データ!$O$5:$O$180,"&gt;=0"),"")</f>
        <v>277.218045112782</v>
      </c>
    </row>
    <row r="74" customFormat="false" ht="15" hidden="false" customHeight="false" outlineLevel="0" collapsed="false">
      <c r="A74" s="18" t="s">
        <v>229</v>
      </c>
    </row>
    <row r="75" customFormat="false" ht="15" hidden="false" customHeight="false" outlineLevel="0" collapsed="false">
      <c r="A75" s="4" t="s">
        <v>3</v>
      </c>
      <c r="B75" s="3" t="s">
        <v>212</v>
      </c>
      <c r="C75" s="3" t="s">
        <v>213</v>
      </c>
      <c r="D75" s="3" t="s">
        <v>214</v>
      </c>
      <c r="E75" s="3" t="s">
        <v>215</v>
      </c>
      <c r="F75" s="3" t="s">
        <v>216</v>
      </c>
      <c r="G75" s="3" t="s">
        <v>217</v>
      </c>
      <c r="H75" s="4" t="s">
        <v>218</v>
      </c>
    </row>
    <row r="76" customFormat="false" ht="15" hidden="false" customHeight="false" outlineLevel="0" collapsed="false">
      <c r="A76" s="13" t="s">
        <v>23</v>
      </c>
      <c r="B76" s="10" t="n">
        <f aca="false">COUNTIFS(物件データ!$L$5:$L$180,1,物件データ!$B$5:$B$180,$A76,物件データ!$J$5:$J$180,B$75)-COUNTIFS(物件データ!$L$5:$L$180,1,物件データ!$B$5:$B$180,$A76,物件データ!$J$5:$J$180,B$75,物件データ!$H$5:$H$180,"&gt;0")</f>
        <v>17</v>
      </c>
      <c r="C76" s="10" t="n">
        <f aca="false">COUNTIFS(物件データ!$L$5:$L$180,1,物件データ!$B$5:$B$180,$A76,物件データ!$J$5:$J$180,C$75)-COUNTIFS(物件データ!$L$5:$L$180,1,物件データ!$B$5:$B$180,$A76,物件データ!$J$5:$J$180,C$75,物件データ!$H$5:$H$180,"&gt;0")</f>
        <v>2</v>
      </c>
      <c r="D76" s="10" t="n">
        <f aca="false">COUNTIFS(物件データ!$L$5:$L$180,1,物件データ!$B$5:$B$180,$A76,物件データ!$J$5:$J$180,D$75)-COUNTIFS(物件データ!$L$5:$L$180,1,物件データ!$B$5:$B$180,$A76,物件データ!$J$5:$J$180,D$75,物件データ!$H$5:$H$180,"&gt;0")</f>
        <v>0</v>
      </c>
      <c r="E76" s="10" t="n">
        <f aca="false">COUNTIFS(物件データ!$L$5:$L$180,1,物件データ!$B$5:$B$180,$A76,物件データ!$J$5:$J$180,E$75)-COUNTIFS(物件データ!$L$5:$L$180,1,物件データ!$B$5:$B$180,$A76,物件データ!$J$5:$J$180,E$75,物件データ!$H$5:$H$180,"&gt;0")</f>
        <v>1</v>
      </c>
      <c r="F76" s="10" t="n">
        <f aca="false">COUNTIFS(物件データ!$L$5:$L$180,1,物件データ!$B$5:$B$180,$A76,物件データ!$J$5:$J$180,F$75)-COUNTIFS(物件データ!$L$5:$L$180,1,物件データ!$B$5:$B$180,$A76,物件データ!$J$5:$J$180,F$75,物件データ!$H$5:$H$180,"&gt;0")</f>
        <v>0</v>
      </c>
      <c r="G76" s="10" t="n">
        <f aca="false">COUNTIFS(物件データ!$L$5:$L$180,1,物件データ!$B$5:$B$180,$A76,物件データ!$J$5:$J$180,G$75)-COUNTIFS(物件データ!$L$5:$L$180,1,物件データ!$B$5:$B$180,$A76,物件データ!$J$5:$J$180,G$75,物件データ!$H$5:$H$180,"&gt;0")</f>
        <v>0</v>
      </c>
      <c r="H76" s="14" t="n">
        <f aca="false">COUNTIFS(物件データ!$L$5:$L$180,1,物件データ!$B$5:$B$180,$A76,物件データ!$J$5:$J$180,"?*")-COUNTIFS(物件データ!$L$5:$L$180,1,物件データ!$B$5:$B$180,$A76,物件データ!$J$5:$J$180,"?*",物件データ!$H$5:$H$180,"&gt;0")</f>
        <v>20</v>
      </c>
    </row>
    <row r="77" customFormat="false" ht="15" hidden="false" customHeight="false" outlineLevel="0" collapsed="false">
      <c r="A77" s="13" t="s">
        <v>42</v>
      </c>
      <c r="B77" s="10" t="n">
        <f aca="false">COUNTIFS(物件データ!$L$5:$L$180,1,物件データ!$B$5:$B$180,$A77,物件データ!$J$5:$J$180,B$75)-COUNTIFS(物件データ!$L$5:$L$180,1,物件データ!$B$5:$B$180,$A77,物件データ!$J$5:$J$180,B$75,物件データ!$H$5:$H$180,"&gt;0")</f>
        <v>1</v>
      </c>
      <c r="C77" s="10" t="n">
        <f aca="false">COUNTIFS(物件データ!$L$5:$L$180,1,物件データ!$B$5:$B$180,$A77,物件データ!$J$5:$J$180,C$75)-COUNTIFS(物件データ!$L$5:$L$180,1,物件データ!$B$5:$B$180,$A77,物件データ!$J$5:$J$180,C$75,物件データ!$H$5:$H$180,"&gt;0")</f>
        <v>1</v>
      </c>
      <c r="D77" s="10" t="n">
        <f aca="false">COUNTIFS(物件データ!$L$5:$L$180,1,物件データ!$B$5:$B$180,$A77,物件データ!$J$5:$J$180,D$75)-COUNTIFS(物件データ!$L$5:$L$180,1,物件データ!$B$5:$B$180,$A77,物件データ!$J$5:$J$180,D$75,物件データ!$H$5:$H$180,"&gt;0")</f>
        <v>0</v>
      </c>
      <c r="E77" s="10" t="n">
        <f aca="false">COUNTIFS(物件データ!$L$5:$L$180,1,物件データ!$B$5:$B$180,$A77,物件データ!$J$5:$J$180,E$75)-COUNTIFS(物件データ!$L$5:$L$180,1,物件データ!$B$5:$B$180,$A77,物件データ!$J$5:$J$180,E$75,物件データ!$H$5:$H$180,"&gt;0")</f>
        <v>0</v>
      </c>
      <c r="F77" s="10" t="n">
        <f aca="false">COUNTIFS(物件データ!$L$5:$L$180,1,物件データ!$B$5:$B$180,$A77,物件データ!$J$5:$J$180,F$75)-COUNTIFS(物件データ!$L$5:$L$180,1,物件データ!$B$5:$B$180,$A77,物件データ!$J$5:$J$180,F$75,物件データ!$H$5:$H$180,"&gt;0")</f>
        <v>0</v>
      </c>
      <c r="G77" s="10" t="n">
        <f aca="false">COUNTIFS(物件データ!$L$5:$L$180,1,物件データ!$B$5:$B$180,$A77,物件データ!$J$5:$J$180,G$75)-COUNTIFS(物件データ!$L$5:$L$180,1,物件データ!$B$5:$B$180,$A77,物件データ!$J$5:$J$180,G$75,物件データ!$H$5:$H$180,"&gt;0")</f>
        <v>0</v>
      </c>
      <c r="H77" s="14" t="n">
        <f aca="false">COUNTIFS(物件データ!$L$5:$L$180,1,物件データ!$B$5:$B$180,$A77,物件データ!$J$5:$J$180,"?*")-COUNTIFS(物件データ!$L$5:$L$180,1,物件データ!$B$5:$B$180,$A77,物件データ!$J$5:$J$180,"?*",物件データ!$H$5:$H$180,"&gt;0")</f>
        <v>2</v>
      </c>
    </row>
    <row r="78" customFormat="false" ht="15" hidden="false" customHeight="false" outlineLevel="0" collapsed="false">
      <c r="A78" s="15" t="s">
        <v>219</v>
      </c>
      <c r="B78" s="10" t="n">
        <f aca="false">COUNTIFS(物件データ!$L$5:$L$180,1,物件データ!$B$5:$B$180,$A78,物件データ!$J$5:$J$180,B$75)-COUNTIFS(物件データ!$L$5:$L$180,1,物件データ!$B$5:$B$180,$A78,物件データ!$J$5:$J$180,B$75,物件データ!$H$5:$H$180,"&gt;0")</f>
        <v>5</v>
      </c>
      <c r="C78" s="10" t="n">
        <f aca="false">COUNTIFS(物件データ!$L$5:$L$180,1,物件データ!$B$5:$B$180,$A78,物件データ!$J$5:$J$180,C$75)-COUNTIFS(物件データ!$L$5:$L$180,1,物件データ!$B$5:$B$180,$A78,物件データ!$J$5:$J$180,C$75,物件データ!$H$5:$H$180,"&gt;0")</f>
        <v>0</v>
      </c>
      <c r="D78" s="10" t="n">
        <f aca="false">COUNTIFS(物件データ!$L$5:$L$180,1,物件データ!$B$5:$B$180,$A78,物件データ!$J$5:$J$180,D$75)-COUNTIFS(物件データ!$L$5:$L$180,1,物件データ!$B$5:$B$180,$A78,物件データ!$J$5:$J$180,D$75,物件データ!$H$5:$H$180,"&gt;0")</f>
        <v>0</v>
      </c>
      <c r="E78" s="10" t="n">
        <f aca="false">COUNTIFS(物件データ!$L$5:$L$180,1,物件データ!$B$5:$B$180,$A78,物件データ!$J$5:$J$180,E$75)-COUNTIFS(物件データ!$L$5:$L$180,1,物件データ!$B$5:$B$180,$A78,物件データ!$J$5:$J$180,E$75,物件データ!$H$5:$H$180,"&gt;0")</f>
        <v>1</v>
      </c>
      <c r="F78" s="10" t="n">
        <f aca="false">COUNTIFS(物件データ!$L$5:$L$180,1,物件データ!$B$5:$B$180,$A78,物件データ!$J$5:$J$180,F$75)-COUNTIFS(物件データ!$L$5:$L$180,1,物件データ!$B$5:$B$180,$A78,物件データ!$J$5:$J$180,F$75,物件データ!$H$5:$H$180,"&gt;0")</f>
        <v>1</v>
      </c>
      <c r="G78" s="10" t="n">
        <f aca="false">COUNTIFS(物件データ!$L$5:$L$180,1,物件データ!$B$5:$B$180,$A78,物件データ!$J$5:$J$180,G$75)-COUNTIFS(物件データ!$L$5:$L$180,1,物件データ!$B$5:$B$180,$A78,物件データ!$J$5:$J$180,G$75,物件データ!$H$5:$H$180,"&gt;0")</f>
        <v>0</v>
      </c>
      <c r="H78" s="14" t="n">
        <f aca="false">COUNTIFS(物件データ!$L$5:$L$180,1,物件データ!$B$5:$B$180,$A78,物件データ!$J$5:$J$180,"?*")-COUNTIFS(物件データ!$L$5:$L$180,1,物件データ!$B$5:$B$180,$A78,物件データ!$J$5:$J$180,"?*",物件データ!$H$5:$H$180,"&gt;0")</f>
        <v>7</v>
      </c>
    </row>
    <row r="79" customFormat="false" ht="15" hidden="false" customHeight="false" outlineLevel="0" collapsed="false">
      <c r="A79" s="13" t="s">
        <v>26</v>
      </c>
      <c r="B79" s="10" t="n">
        <f aca="false">COUNTIFS(物件データ!$L$5:$L$180,1,物件データ!$B$5:$B$180,$A79,物件データ!$J$5:$J$180,B$75)-COUNTIFS(物件データ!$L$5:$L$180,1,物件データ!$B$5:$B$180,$A79,物件データ!$J$5:$J$180,B$75,物件データ!$H$5:$H$180,"&gt;0")</f>
        <v>3</v>
      </c>
      <c r="C79" s="10" t="n">
        <f aca="false">COUNTIFS(物件データ!$L$5:$L$180,1,物件データ!$B$5:$B$180,$A79,物件データ!$J$5:$J$180,C$75)-COUNTIFS(物件データ!$L$5:$L$180,1,物件データ!$B$5:$B$180,$A79,物件データ!$J$5:$J$180,C$75,物件データ!$H$5:$H$180,"&gt;0")</f>
        <v>0</v>
      </c>
      <c r="D79" s="10" t="n">
        <f aca="false">COUNTIFS(物件データ!$L$5:$L$180,1,物件データ!$B$5:$B$180,$A79,物件データ!$J$5:$J$180,D$75)-COUNTIFS(物件データ!$L$5:$L$180,1,物件データ!$B$5:$B$180,$A79,物件データ!$J$5:$J$180,D$75,物件データ!$H$5:$H$180,"&gt;0")</f>
        <v>0</v>
      </c>
      <c r="E79" s="10" t="n">
        <f aca="false">COUNTIFS(物件データ!$L$5:$L$180,1,物件データ!$B$5:$B$180,$A79,物件データ!$J$5:$J$180,E$75)-COUNTIFS(物件データ!$L$5:$L$180,1,物件データ!$B$5:$B$180,$A79,物件データ!$J$5:$J$180,E$75,物件データ!$H$5:$H$180,"&gt;0")</f>
        <v>0</v>
      </c>
      <c r="F79" s="10" t="n">
        <f aca="false">COUNTIFS(物件データ!$L$5:$L$180,1,物件データ!$B$5:$B$180,$A79,物件データ!$J$5:$J$180,F$75)-COUNTIFS(物件データ!$L$5:$L$180,1,物件データ!$B$5:$B$180,$A79,物件データ!$J$5:$J$180,F$75,物件データ!$H$5:$H$180,"&gt;0")</f>
        <v>0</v>
      </c>
      <c r="G79" s="10" t="n">
        <f aca="false">COUNTIFS(物件データ!$L$5:$L$180,1,物件データ!$B$5:$B$180,$A79,物件データ!$J$5:$J$180,G$75)-COUNTIFS(物件データ!$L$5:$L$180,1,物件データ!$B$5:$B$180,$A79,物件データ!$J$5:$J$180,G$75,物件データ!$H$5:$H$180,"&gt;0")</f>
        <v>0</v>
      </c>
      <c r="H79" s="14" t="n">
        <f aca="false">COUNTIFS(物件データ!$L$5:$L$180,1,物件データ!$B$5:$B$180,$A79,物件データ!$J$5:$J$180,"?*")-COUNTIFS(物件データ!$L$5:$L$180,1,物件データ!$B$5:$B$180,$A79,物件データ!$J$5:$J$180,"?*",物件データ!$H$5:$H$180,"&gt;0")</f>
        <v>3</v>
      </c>
    </row>
    <row r="80" customFormat="false" ht="15" hidden="false" customHeight="false" outlineLevel="0" collapsed="false">
      <c r="A80" s="13" t="s">
        <v>50</v>
      </c>
      <c r="B80" s="10" t="n">
        <f aca="false">COUNTIFS(物件データ!$L$5:$L$180,1,物件データ!$B$5:$B$180,$A80,物件データ!$J$5:$J$180,B$75)-COUNTIFS(物件データ!$L$5:$L$180,1,物件データ!$B$5:$B$180,$A80,物件データ!$J$5:$J$180,B$75,物件データ!$H$5:$H$180,"&gt;0")</f>
        <v>1</v>
      </c>
      <c r="C80" s="10" t="n">
        <f aca="false">COUNTIFS(物件データ!$L$5:$L$180,1,物件データ!$B$5:$B$180,$A80,物件データ!$J$5:$J$180,C$75)-COUNTIFS(物件データ!$L$5:$L$180,1,物件データ!$B$5:$B$180,$A80,物件データ!$J$5:$J$180,C$75,物件データ!$H$5:$H$180,"&gt;0")</f>
        <v>0</v>
      </c>
      <c r="D80" s="10" t="n">
        <f aca="false">COUNTIFS(物件データ!$L$5:$L$180,1,物件データ!$B$5:$B$180,$A80,物件データ!$J$5:$J$180,D$75)-COUNTIFS(物件データ!$L$5:$L$180,1,物件データ!$B$5:$B$180,$A80,物件データ!$J$5:$J$180,D$75,物件データ!$H$5:$H$180,"&gt;0")</f>
        <v>0</v>
      </c>
      <c r="E80" s="10" t="n">
        <f aca="false">COUNTIFS(物件データ!$L$5:$L$180,1,物件データ!$B$5:$B$180,$A80,物件データ!$J$5:$J$180,E$75)-COUNTIFS(物件データ!$L$5:$L$180,1,物件データ!$B$5:$B$180,$A80,物件データ!$J$5:$J$180,E$75,物件データ!$H$5:$H$180,"&gt;0")</f>
        <v>0</v>
      </c>
      <c r="F80" s="10" t="n">
        <f aca="false">COUNTIFS(物件データ!$L$5:$L$180,1,物件データ!$B$5:$B$180,$A80,物件データ!$J$5:$J$180,F$75)-COUNTIFS(物件データ!$L$5:$L$180,1,物件データ!$B$5:$B$180,$A80,物件データ!$J$5:$J$180,F$75,物件データ!$H$5:$H$180,"&gt;0")</f>
        <v>0</v>
      </c>
      <c r="G80" s="10" t="n">
        <f aca="false">COUNTIFS(物件データ!$L$5:$L$180,1,物件データ!$B$5:$B$180,$A80,物件データ!$J$5:$J$180,G$75)-COUNTIFS(物件データ!$L$5:$L$180,1,物件データ!$B$5:$B$180,$A80,物件データ!$J$5:$J$180,G$75,物件データ!$H$5:$H$180,"&gt;0")</f>
        <v>0</v>
      </c>
      <c r="H80" s="14" t="n">
        <f aca="false">COUNTIFS(物件データ!$L$5:$L$180,1,物件データ!$B$5:$B$180,$A80,物件データ!$J$5:$J$180,"?*")-COUNTIFS(物件データ!$L$5:$L$180,1,物件データ!$B$5:$B$180,$A80,物件データ!$J$5:$J$180,"?*",物件データ!$H$5:$H$180,"&gt;0")</f>
        <v>1</v>
      </c>
    </row>
    <row r="81" customFormat="false" ht="15" hidden="false" customHeight="false" outlineLevel="0" collapsed="false">
      <c r="A81" s="13" t="s">
        <v>93</v>
      </c>
      <c r="B81" s="10" t="n">
        <f aca="false">COUNTIFS(物件データ!$L$5:$L$180,1,物件データ!$B$5:$B$180,$A81,物件データ!$J$5:$J$180,B$75)-COUNTIFS(物件データ!$L$5:$L$180,1,物件データ!$B$5:$B$180,$A81,物件データ!$J$5:$J$180,B$75,物件データ!$H$5:$H$180,"&gt;0")</f>
        <v>0</v>
      </c>
      <c r="C81" s="10" t="n">
        <f aca="false">COUNTIFS(物件データ!$L$5:$L$180,1,物件データ!$B$5:$B$180,$A81,物件データ!$J$5:$J$180,C$75)-COUNTIFS(物件データ!$L$5:$L$180,1,物件データ!$B$5:$B$180,$A81,物件データ!$J$5:$J$180,C$75,物件データ!$H$5:$H$180,"&gt;0")</f>
        <v>0</v>
      </c>
      <c r="D81" s="10" t="n">
        <f aca="false">COUNTIFS(物件データ!$L$5:$L$180,1,物件データ!$B$5:$B$180,$A81,物件データ!$J$5:$J$180,D$75)-COUNTIFS(物件データ!$L$5:$L$180,1,物件データ!$B$5:$B$180,$A81,物件データ!$J$5:$J$180,D$75,物件データ!$H$5:$H$180,"&gt;0")</f>
        <v>0</v>
      </c>
      <c r="E81" s="10" t="n">
        <f aca="false">COUNTIFS(物件データ!$L$5:$L$180,1,物件データ!$B$5:$B$180,$A81,物件データ!$J$5:$J$180,E$75)-COUNTIFS(物件データ!$L$5:$L$180,1,物件データ!$B$5:$B$180,$A81,物件データ!$J$5:$J$180,E$75,物件データ!$H$5:$H$180,"&gt;0")</f>
        <v>0</v>
      </c>
      <c r="F81" s="10" t="n">
        <f aca="false">COUNTIFS(物件データ!$L$5:$L$180,1,物件データ!$B$5:$B$180,$A81,物件データ!$J$5:$J$180,F$75)-COUNTIFS(物件データ!$L$5:$L$180,1,物件データ!$B$5:$B$180,$A81,物件データ!$J$5:$J$180,F$75,物件データ!$H$5:$H$180,"&gt;0")</f>
        <v>0</v>
      </c>
      <c r="G81" s="10" t="n">
        <f aca="false">COUNTIFS(物件データ!$L$5:$L$180,1,物件データ!$B$5:$B$180,$A81,物件データ!$J$5:$J$180,G$75)-COUNTIFS(物件データ!$L$5:$L$180,1,物件データ!$B$5:$B$180,$A81,物件データ!$J$5:$J$180,G$75,物件データ!$H$5:$H$180,"&gt;0")</f>
        <v>0</v>
      </c>
      <c r="H81" s="14" t="n">
        <f aca="false">COUNTIFS(物件データ!$L$5:$L$180,1,物件データ!$B$5:$B$180,$A81,物件データ!$J$5:$J$180,"?*")-COUNTIFS(物件データ!$L$5:$L$180,1,物件データ!$B$5:$B$180,$A81,物件データ!$J$5:$J$180,"?*",物件データ!$H$5:$H$180,"&gt;0")</f>
        <v>0</v>
      </c>
    </row>
    <row r="82" customFormat="false" ht="15" hidden="false" customHeight="false" outlineLevel="0" collapsed="false">
      <c r="A82" s="13" t="s">
        <v>69</v>
      </c>
      <c r="B82" s="10" t="n">
        <f aca="false">COUNTIFS(物件データ!$L$5:$L$180,1,物件データ!$B$5:$B$180,$A82,物件データ!$J$5:$J$180,B$75)-COUNTIFS(物件データ!$L$5:$L$180,1,物件データ!$B$5:$B$180,$A82,物件データ!$J$5:$J$180,B$75,物件データ!$H$5:$H$180,"&gt;0")</f>
        <v>0</v>
      </c>
      <c r="C82" s="10" t="n">
        <f aca="false">COUNTIFS(物件データ!$L$5:$L$180,1,物件データ!$B$5:$B$180,$A82,物件データ!$J$5:$J$180,C$75)-COUNTIFS(物件データ!$L$5:$L$180,1,物件データ!$B$5:$B$180,$A82,物件データ!$J$5:$J$180,C$75,物件データ!$H$5:$H$180,"&gt;0")</f>
        <v>0</v>
      </c>
      <c r="D82" s="10" t="n">
        <f aca="false">COUNTIFS(物件データ!$L$5:$L$180,1,物件データ!$B$5:$B$180,$A82,物件データ!$J$5:$J$180,D$75)-COUNTIFS(物件データ!$L$5:$L$180,1,物件データ!$B$5:$B$180,$A82,物件データ!$J$5:$J$180,D$75,物件データ!$H$5:$H$180,"&gt;0")</f>
        <v>0</v>
      </c>
      <c r="E82" s="10" t="n">
        <f aca="false">COUNTIFS(物件データ!$L$5:$L$180,1,物件データ!$B$5:$B$180,$A82,物件データ!$J$5:$J$180,E$75)-COUNTIFS(物件データ!$L$5:$L$180,1,物件データ!$B$5:$B$180,$A82,物件データ!$J$5:$J$180,E$75,物件データ!$H$5:$H$180,"&gt;0")</f>
        <v>0</v>
      </c>
      <c r="F82" s="10" t="n">
        <f aca="false">COUNTIFS(物件データ!$L$5:$L$180,1,物件データ!$B$5:$B$180,$A82,物件データ!$J$5:$J$180,F$75)-COUNTIFS(物件データ!$L$5:$L$180,1,物件データ!$B$5:$B$180,$A82,物件データ!$J$5:$J$180,F$75,物件データ!$H$5:$H$180,"&gt;0")</f>
        <v>0</v>
      </c>
      <c r="G82" s="10" t="n">
        <f aca="false">COUNTIFS(物件データ!$L$5:$L$180,1,物件データ!$B$5:$B$180,$A82,物件データ!$J$5:$J$180,G$75)-COUNTIFS(物件データ!$L$5:$L$180,1,物件データ!$B$5:$B$180,$A82,物件データ!$J$5:$J$180,G$75,物件データ!$H$5:$H$180,"&gt;0")</f>
        <v>0</v>
      </c>
      <c r="H82" s="14" t="n">
        <f aca="false">COUNTIFS(物件データ!$L$5:$L$180,1,物件データ!$B$5:$B$180,$A82,物件データ!$J$5:$J$180,"?*")-COUNTIFS(物件データ!$L$5:$L$180,1,物件データ!$B$5:$B$180,$A82,物件データ!$J$5:$J$180,"?*",物件データ!$H$5:$H$180,"&gt;0")</f>
        <v>0</v>
      </c>
    </row>
    <row r="83" customFormat="false" ht="15" hidden="false" customHeight="false" outlineLevel="0" collapsed="false">
      <c r="A83" s="15" t="s">
        <v>220</v>
      </c>
      <c r="B83" s="10" t="n">
        <f aca="false">COUNTIFS(物件データ!$L$5:$L$180,1,物件データ!$B$5:$B$180,$A83,物件データ!$J$5:$J$180,B$75)-COUNTIFS(物件データ!$L$5:$L$180,1,物件データ!$B$5:$B$180,$A83,物件データ!$J$5:$J$180,B$75,物件データ!$H$5:$H$180,"&gt;0")</f>
        <v>0</v>
      </c>
      <c r="C83" s="10" t="n">
        <f aca="false">COUNTIFS(物件データ!$L$5:$L$180,1,物件データ!$B$5:$B$180,$A83,物件データ!$J$5:$J$180,C$75)-COUNTIFS(物件データ!$L$5:$L$180,1,物件データ!$B$5:$B$180,$A83,物件データ!$J$5:$J$180,C$75,物件データ!$H$5:$H$180,"&gt;0")</f>
        <v>1</v>
      </c>
      <c r="D83" s="10" t="n">
        <f aca="false">COUNTIFS(物件データ!$L$5:$L$180,1,物件データ!$B$5:$B$180,$A83,物件データ!$J$5:$J$180,D$75)-COUNTIFS(物件データ!$L$5:$L$180,1,物件データ!$B$5:$B$180,$A83,物件データ!$J$5:$J$180,D$75,物件データ!$H$5:$H$180,"&gt;0")</f>
        <v>0</v>
      </c>
      <c r="E83" s="10" t="n">
        <f aca="false">COUNTIFS(物件データ!$L$5:$L$180,1,物件データ!$B$5:$B$180,$A83,物件データ!$J$5:$J$180,E$75)-COUNTIFS(物件データ!$L$5:$L$180,1,物件データ!$B$5:$B$180,$A83,物件データ!$J$5:$J$180,E$75,物件データ!$H$5:$H$180,"&gt;0")</f>
        <v>0</v>
      </c>
      <c r="F83" s="10" t="n">
        <f aca="false">COUNTIFS(物件データ!$L$5:$L$180,1,物件データ!$B$5:$B$180,$A83,物件データ!$J$5:$J$180,F$75)-COUNTIFS(物件データ!$L$5:$L$180,1,物件データ!$B$5:$B$180,$A83,物件データ!$J$5:$J$180,F$75,物件データ!$H$5:$H$180,"&gt;0")</f>
        <v>0</v>
      </c>
      <c r="G83" s="10" t="n">
        <f aca="false">COUNTIFS(物件データ!$L$5:$L$180,1,物件データ!$B$5:$B$180,$A83,物件データ!$J$5:$J$180,G$75)-COUNTIFS(物件データ!$L$5:$L$180,1,物件データ!$B$5:$B$180,$A83,物件データ!$J$5:$J$180,G$75,物件データ!$H$5:$H$180,"&gt;0")</f>
        <v>0</v>
      </c>
      <c r="H83" s="14" t="n">
        <f aca="false">COUNTIFS(物件データ!$L$5:$L$180,1,物件データ!$B$5:$B$180,$A83,物件データ!$J$5:$J$180,"?*")-COUNTIFS(物件データ!$L$5:$L$180,1,物件データ!$B$5:$B$180,$A83,物件データ!$J$5:$J$180,"?*",物件データ!$H$5:$H$180,"&gt;0")</f>
        <v>1</v>
      </c>
    </row>
    <row r="84" customFormat="false" ht="15" hidden="false" customHeight="false" outlineLevel="0" collapsed="false">
      <c r="A84" s="15" t="s">
        <v>122</v>
      </c>
      <c r="B84" s="10" t="n">
        <f aca="false">COUNTIFS(物件データ!$L$5:$L$180,1,物件データ!$B$5:$B$180,$A84,物件データ!$J$5:$J$180,B$75)-COUNTIFS(物件データ!$L$5:$L$180,1,物件データ!$B$5:$B$180,$A84,物件データ!$J$5:$J$180,B$75,物件データ!$H$5:$H$180,"&gt;0")</f>
        <v>0</v>
      </c>
      <c r="C84" s="10" t="n">
        <f aca="false">COUNTIFS(物件データ!$L$5:$L$180,1,物件データ!$B$5:$B$180,$A84,物件データ!$J$5:$J$180,C$75)-COUNTIFS(物件データ!$L$5:$L$180,1,物件データ!$B$5:$B$180,$A84,物件データ!$J$5:$J$180,C$75,物件データ!$H$5:$H$180,"&gt;0")</f>
        <v>0</v>
      </c>
      <c r="D84" s="10" t="n">
        <f aca="false">COUNTIFS(物件データ!$L$5:$L$180,1,物件データ!$B$5:$B$180,$A84,物件データ!$J$5:$J$180,D$75)-COUNTIFS(物件データ!$L$5:$L$180,1,物件データ!$B$5:$B$180,$A84,物件データ!$J$5:$J$180,D$75,物件データ!$H$5:$H$180,"&gt;0")</f>
        <v>0</v>
      </c>
      <c r="E84" s="10" t="n">
        <f aca="false">COUNTIFS(物件データ!$L$5:$L$180,1,物件データ!$B$5:$B$180,$A84,物件データ!$J$5:$J$180,E$75)-COUNTIFS(物件データ!$L$5:$L$180,1,物件データ!$B$5:$B$180,$A84,物件データ!$J$5:$J$180,E$75,物件データ!$H$5:$H$180,"&gt;0")</f>
        <v>0</v>
      </c>
      <c r="F84" s="10" t="n">
        <f aca="false">COUNTIFS(物件データ!$L$5:$L$180,1,物件データ!$B$5:$B$180,$A84,物件データ!$J$5:$J$180,F$75)-COUNTIFS(物件データ!$L$5:$L$180,1,物件データ!$B$5:$B$180,$A84,物件データ!$J$5:$J$180,F$75,物件データ!$H$5:$H$180,"&gt;0")</f>
        <v>0</v>
      </c>
      <c r="G84" s="10" t="n">
        <f aca="false">COUNTIFS(物件データ!$L$5:$L$180,1,物件データ!$B$5:$B$180,$A84,物件データ!$J$5:$J$180,G$75)-COUNTIFS(物件データ!$L$5:$L$180,1,物件データ!$B$5:$B$180,$A84,物件データ!$J$5:$J$180,G$75,物件データ!$H$5:$H$180,"&gt;0")</f>
        <v>0</v>
      </c>
      <c r="H84" s="14" t="n">
        <f aca="false">COUNTIFS(物件データ!$L$5:$L$180,1,物件データ!$B$5:$B$180,$A84,物件データ!$J$5:$J$180,"?*")-COUNTIFS(物件データ!$L$5:$L$180,1,物件データ!$B$5:$B$180,$A84,物件データ!$J$5:$J$180,"?*",物件データ!$H$5:$H$180,"&gt;0")</f>
        <v>0</v>
      </c>
    </row>
    <row r="85" customFormat="false" ht="15" hidden="false" customHeight="false" outlineLevel="0" collapsed="false">
      <c r="A85" s="13" t="s">
        <v>221</v>
      </c>
      <c r="B85" s="10" t="n">
        <f aca="false">COUNTIFS(物件データ!$L$5:$L$180,1,物件データ!$B$5:$B$180,$A85,物件データ!$J$5:$J$180,B$75)-COUNTIFS(物件データ!$L$5:$L$180,1,物件データ!$B$5:$B$180,$A85,物件データ!$J$5:$J$180,B$75,物件データ!$H$5:$H$180,"&gt;0")</f>
        <v>0</v>
      </c>
      <c r="C85" s="10" t="n">
        <f aca="false">COUNTIFS(物件データ!$L$5:$L$180,1,物件データ!$B$5:$B$180,$A85,物件データ!$J$5:$J$180,C$75)-COUNTIFS(物件データ!$L$5:$L$180,1,物件データ!$B$5:$B$180,$A85,物件データ!$J$5:$J$180,C$75,物件データ!$H$5:$H$180,"&gt;0")</f>
        <v>0</v>
      </c>
      <c r="D85" s="10" t="n">
        <f aca="false">COUNTIFS(物件データ!$L$5:$L$180,1,物件データ!$B$5:$B$180,$A85,物件データ!$J$5:$J$180,D$75)-COUNTIFS(物件データ!$L$5:$L$180,1,物件データ!$B$5:$B$180,$A85,物件データ!$J$5:$J$180,D$75,物件データ!$H$5:$H$180,"&gt;0")</f>
        <v>0</v>
      </c>
      <c r="E85" s="10" t="n">
        <f aca="false">COUNTIFS(物件データ!$L$5:$L$180,1,物件データ!$B$5:$B$180,$A85,物件データ!$J$5:$J$180,E$75)-COUNTIFS(物件データ!$L$5:$L$180,1,物件データ!$B$5:$B$180,$A85,物件データ!$J$5:$J$180,E$75,物件データ!$H$5:$H$180,"&gt;0")</f>
        <v>0</v>
      </c>
      <c r="F85" s="10" t="n">
        <f aca="false">COUNTIFS(物件データ!$L$5:$L$180,1,物件データ!$B$5:$B$180,$A85,物件データ!$J$5:$J$180,F$75)-COUNTIFS(物件データ!$L$5:$L$180,1,物件データ!$B$5:$B$180,$A85,物件データ!$J$5:$J$180,F$75,物件データ!$H$5:$H$180,"&gt;0")</f>
        <v>0</v>
      </c>
      <c r="G85" s="10" t="n">
        <f aca="false">COUNTIFS(物件データ!$L$5:$L$180,1,物件データ!$B$5:$B$180,$A85,物件データ!$J$5:$J$180,G$75)-COUNTIFS(物件データ!$L$5:$L$180,1,物件データ!$B$5:$B$180,$A85,物件データ!$J$5:$J$180,G$75,物件データ!$H$5:$H$180,"&gt;0")</f>
        <v>0</v>
      </c>
      <c r="H85" s="14" t="n">
        <f aca="false">COUNTIFS(物件データ!$L$5:$L$180,1,物件データ!$B$5:$B$180,$A85,物件データ!$J$5:$J$180,"?*")-COUNTIFS(物件データ!$L$5:$L$180,1,物件データ!$B$5:$B$180,$A85,物件データ!$J$5:$J$180,"?*",物件データ!$H$5:$H$180,"&gt;0")</f>
        <v>0</v>
      </c>
    </row>
    <row r="86" customFormat="false" ht="15" hidden="false" customHeight="false" outlineLevel="0" collapsed="false">
      <c r="A86" s="16" t="s">
        <v>218</v>
      </c>
      <c r="B86" s="14" t="n">
        <f aca="false">SUM(B76:B85)</f>
        <v>27</v>
      </c>
      <c r="C86" s="14" t="n">
        <f aca="false">SUM(C76:C85)</f>
        <v>4</v>
      </c>
      <c r="D86" s="14" t="n">
        <f aca="false">SUM(D76:D85)</f>
        <v>0</v>
      </c>
      <c r="E86" s="14" t="n">
        <f aca="false">SUM(E76:E85)</f>
        <v>2</v>
      </c>
      <c r="F86" s="14" t="n">
        <f aca="false">SUM(F76:F85)</f>
        <v>1</v>
      </c>
      <c r="G86" s="14" t="n">
        <f aca="false">SUM(G76:G85)</f>
        <v>0</v>
      </c>
      <c r="H86" s="14" t="n">
        <f aca="false">SUM(H76:H85)</f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  <col collapsed="false" customWidth="true" hidden="false" outlineLevel="0" max="10" min="9" style="0" width="14"/>
  </cols>
  <sheetData>
    <row r="1" customFormat="false" ht="19.4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tr">
        <f aca="false">" 集計対象："&amp;設定!B4&amp;"／販売価格が空欄の物件は除外"</f>
        <v> 集計対象：全て／販売価格が空欄の物件は除外</v>
      </c>
    </row>
    <row r="4" customFormat="false" ht="15" hidden="false" customHeight="false" outlineLevel="0" collapsed="false">
      <c r="A4" s="4" t="s">
        <v>231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  <c r="G4" s="3" t="s">
        <v>217</v>
      </c>
      <c r="H4" s="4" t="s">
        <v>232</v>
      </c>
    </row>
    <row r="5" customFormat="false" ht="15" hidden="false" customHeight="false" outlineLevel="0" collapsed="false">
      <c r="A5" s="13" t="s">
        <v>233</v>
      </c>
      <c r="B5" s="10" t="n">
        <f aca="false">COUNTIFS(物件データ!$L$5:$L$180,1,物件データ!$J$5:$J$180,B$4,物件データ!$G$5:$G$180,"&gt;0")</f>
        <v>30</v>
      </c>
      <c r="C5" s="10" t="n">
        <f aca="false">COUNTIFS(物件データ!$L$5:$L$180,1,物件データ!$J$5:$J$180,C$4,物件データ!$G$5:$G$180,"&gt;0")</f>
        <v>32</v>
      </c>
      <c r="D5" s="10" t="n">
        <f aca="false">COUNTIFS(物件データ!$L$5:$L$180,1,物件データ!$J$5:$J$180,D$4,物件データ!$G$5:$G$180,"&gt;0")</f>
        <v>6</v>
      </c>
      <c r="E5" s="10" t="n">
        <f aca="false">COUNTIFS(物件データ!$L$5:$L$180,1,物件データ!$J$5:$J$180,E$4,物件データ!$G$5:$G$180,"&gt;0")</f>
        <v>33</v>
      </c>
      <c r="F5" s="10" t="n">
        <f aca="false">COUNTIFS(物件データ!$L$5:$L$180,1,物件データ!$J$5:$J$180,F$4,物件データ!$G$5:$G$180,"&gt;0")</f>
        <v>27</v>
      </c>
      <c r="G5" s="10" t="n">
        <f aca="false">COUNTIFS(物件データ!$L$5:$L$180,1,物件データ!$J$5:$J$180,G$4,物件データ!$G$5:$G$180,"&gt;0")</f>
        <v>6</v>
      </c>
      <c r="H5" s="10" t="n">
        <f aca="false">COUNTIFS(物件データ!$L$5:$L$180,1,物件データ!$J$5:$J$180,"?*",物件データ!$G$5:$G$180,"&gt;0")</f>
        <v>134</v>
      </c>
    </row>
    <row r="6" customFormat="false" ht="15" hidden="false" customHeight="false" outlineLevel="0" collapsed="false">
      <c r="A6" s="13" t="s">
        <v>234</v>
      </c>
      <c r="B6" s="20" t="n">
        <f aca="false">IFERROR(AVERAGEIFS(物件データ!$G$5:$G$180,物件データ!$L$5:$L$180,1,物件データ!$J$5:$J$180,B$4,物件データ!$G$5:$G$180,"&gt;0"),"")</f>
        <v>62316666.6666667</v>
      </c>
      <c r="C6" s="20" t="n">
        <f aca="false">IFERROR(AVERAGEIFS(物件データ!$G$5:$G$180,物件データ!$L$5:$L$180,1,物件データ!$J$5:$J$180,C$4,物件データ!$G$5:$G$180,"&gt;0"),"")</f>
        <v>75364062.5</v>
      </c>
      <c r="D6" s="20" t="n">
        <f aca="false">IFERROR(AVERAGEIFS(物件データ!$G$5:$G$180,物件データ!$L$5:$L$180,1,物件データ!$J$5:$J$180,D$4,物件データ!$G$5:$G$180,"&gt;0"),"")</f>
        <v>70516666.6666667</v>
      </c>
      <c r="E6" s="20" t="n">
        <f aca="false">IFERROR(AVERAGEIFS(物件データ!$G$5:$G$180,物件データ!$L$5:$L$180,1,物件データ!$J$5:$J$180,E$4,物件データ!$G$5:$G$180,"&gt;0"),"")</f>
        <v>63806060.6060606</v>
      </c>
      <c r="F6" s="20" t="n">
        <f aca="false">IFERROR(AVERAGEIFS(物件データ!$G$5:$G$180,物件データ!$L$5:$L$180,1,物件データ!$J$5:$J$180,F$4,物件データ!$G$5:$G$180,"&gt;0"),"")</f>
        <v>106488888.888889</v>
      </c>
      <c r="G6" s="20" t="n">
        <f aca="false">IFERROR(AVERAGEIFS(物件データ!$G$5:$G$180,物件データ!$L$5:$L$180,1,物件データ!$J$5:$J$180,G$4,物件データ!$G$5:$G$180,"&gt;0"),"")</f>
        <v>71650000</v>
      </c>
      <c r="H6" s="20" t="n">
        <f aca="false">IFERROR(AVERAGEIFS(物件データ!$G$5:$G$180,物件データ!$L$5:$L$180,1,物件データ!$J$5:$J$180,"?*",物件データ!$G$5:$G$180,"&gt;0"),"")</f>
        <v>75484701.4925373</v>
      </c>
    </row>
    <row r="7" customFormat="false" ht="15" hidden="false" customHeight="false" outlineLevel="0" collapsed="false">
      <c r="A7" s="13" t="s">
        <v>235</v>
      </c>
      <c r="B7" s="10" t="n">
        <f aca="false">IFERROR(1/(1/_xlfn.MINIFS(物件データ!$G$5:$G$180,物件データ!$L$5:$L$180,1,物件データ!$J$5:$J$180,B$4,物件データ!$G$5:$G$180,"&gt;0")),"")</f>
        <v>25900000</v>
      </c>
      <c r="C7" s="10" t="n">
        <f aca="false">IFERROR(1/(1/_xlfn.MINIFS(物件データ!$G$5:$G$180,物件データ!$L$5:$L$180,1,物件データ!$J$5:$J$180,C$4,物件データ!$G$5:$G$180,"&gt;0")),"")</f>
        <v>19500000</v>
      </c>
      <c r="D7" s="10" t="n">
        <f aca="false">IFERROR(1/(1/_xlfn.MINIFS(物件データ!$G$5:$G$180,物件データ!$L$5:$L$180,1,物件データ!$J$5:$J$180,D$4,物件データ!$G$5:$G$180,"&gt;0")),"")</f>
        <v>44800000</v>
      </c>
      <c r="E7" s="10" t="n">
        <f aca="false">IFERROR(1/(1/_xlfn.MINIFS(物件データ!$G$5:$G$180,物件データ!$L$5:$L$180,1,物件データ!$J$5:$J$180,E$4,物件データ!$G$5:$G$180,"&gt;0")),"")</f>
        <v>6800000</v>
      </c>
      <c r="F7" s="10" t="n">
        <f aca="false">IFERROR(1/(1/_xlfn.MINIFS(物件データ!$G$5:$G$180,物件データ!$L$5:$L$180,1,物件データ!$J$5:$J$180,F$4,物件データ!$G$5:$G$180,"&gt;0")),"")</f>
        <v>12000000</v>
      </c>
      <c r="G7" s="10" t="n">
        <f aca="false">IFERROR(1/(1/_xlfn.MINIFS(物件データ!$G$5:$G$180,物件データ!$L$5:$L$180,1,物件データ!$J$5:$J$180,G$4,物件データ!$G$5:$G$180,"&gt;0")),"")</f>
        <v>29800000</v>
      </c>
      <c r="H7" s="10" t="n">
        <f aca="false">IFERROR(1/(1/_xlfn.MINIFS(物件データ!$G$5:$G$180,物件データ!$L$5:$L$180,1,物件データ!$J$5:$J$180,"?*",物件データ!$G$5:$G$180,"&gt;0")),"")</f>
        <v>6800000</v>
      </c>
    </row>
    <row r="8" customFormat="false" ht="15" hidden="false" customHeight="false" outlineLevel="0" collapsed="false">
      <c r="A8" s="13" t="s">
        <v>236</v>
      </c>
      <c r="B8" s="10" t="n">
        <f aca="false">IFERROR(1/(1/_xlfn.MAXIFS(物件データ!$G$5:$G$180,物件データ!$L$5:$L$180,1,物件データ!$J$5:$J$180,B$4,物件データ!$G$5:$G$180,"&gt;0")),"")</f>
        <v>138000000</v>
      </c>
      <c r="C8" s="10" t="n">
        <f aca="false">IFERROR(1/(1/_xlfn.MAXIFS(物件データ!$G$5:$G$180,物件データ!$L$5:$L$180,1,物件データ!$J$5:$J$180,C$4,物件データ!$G$5:$G$180,"&gt;0")),"")</f>
        <v>400000000</v>
      </c>
      <c r="D8" s="10" t="n">
        <f aca="false">IFERROR(1/(1/_xlfn.MAXIFS(物件データ!$G$5:$G$180,物件データ!$L$5:$L$180,1,物件データ!$J$5:$J$180,D$4,物件データ!$G$5:$G$180,"&gt;0")),"")</f>
        <v>99800000</v>
      </c>
      <c r="E8" s="10" t="n">
        <f aca="false">IFERROR(1/(1/_xlfn.MAXIFS(物件データ!$G$5:$G$180,物件データ!$L$5:$L$180,1,物件データ!$J$5:$J$180,E$4,物件データ!$G$5:$G$180,"&gt;0")),"")</f>
        <v>320000000</v>
      </c>
      <c r="F8" s="10" t="n">
        <f aca="false">IFERROR(1/(1/_xlfn.MAXIFS(物件データ!$G$5:$G$180,物件データ!$L$5:$L$180,1,物件データ!$J$5:$J$180,F$4,物件データ!$G$5:$G$180,"&gt;0")),"")</f>
        <v>300000000</v>
      </c>
      <c r="G8" s="10" t="n">
        <f aca="false">IFERROR(1/(1/_xlfn.MAXIFS(物件データ!$G$5:$G$180,物件データ!$L$5:$L$180,1,物件データ!$J$5:$J$180,G$4,物件データ!$G$5:$G$180,"&gt;0")),"")</f>
        <v>180000000</v>
      </c>
      <c r="H8" s="10" t="n">
        <f aca="false">IFERROR(1/(1/_xlfn.MAXIFS(物件データ!$G$5:$G$180,物件データ!$L$5:$L$180,1,物件データ!$J$5:$J$180,"?*",物件データ!$G$5:$G$180,"&gt;0")),"")</f>
        <v>400000000</v>
      </c>
    </row>
    <row r="9" customFormat="false" ht="15" hidden="false" customHeight="false" outlineLevel="0" collapsed="false">
      <c r="A9" s="13" t="s">
        <v>237</v>
      </c>
      <c r="B9" s="10" t="n">
        <f aca="false">SUMIFS(物件データ!$G$5:$G$180,物件データ!$L$5:$L$180,1,物件データ!$J$5:$J$180,B$4)</f>
        <v>1869500000</v>
      </c>
      <c r="C9" s="10" t="n">
        <f aca="false">SUMIFS(物件データ!$G$5:$G$180,物件データ!$L$5:$L$180,1,物件データ!$J$5:$J$180,C$4)</f>
        <v>2411650000</v>
      </c>
      <c r="D9" s="10" t="n">
        <f aca="false">SUMIFS(物件データ!$G$5:$G$180,物件データ!$L$5:$L$180,1,物件データ!$J$5:$J$180,D$4)</f>
        <v>423100000</v>
      </c>
      <c r="E9" s="10" t="n">
        <f aca="false">SUMIFS(物件データ!$G$5:$G$180,物件データ!$L$5:$L$180,1,物件データ!$J$5:$J$180,E$4)</f>
        <v>2105600000</v>
      </c>
      <c r="F9" s="10" t="n">
        <f aca="false">SUMIFS(物件データ!$G$5:$G$180,物件データ!$L$5:$L$180,1,物件データ!$J$5:$J$180,F$4)</f>
        <v>2875200000</v>
      </c>
      <c r="G9" s="10" t="n">
        <f aca="false">SUMIFS(物件データ!$G$5:$G$180,物件データ!$L$5:$L$180,1,物件データ!$J$5:$J$180,G$4)</f>
        <v>429900000</v>
      </c>
      <c r="H9" s="10" t="n">
        <f aca="false">SUMIFS(物件データ!$G$5:$G$180,物件データ!$L$5:$L$180,1,物件データ!$J$5:$J$180,"?*")</f>
        <v>10114950000</v>
      </c>
    </row>
    <row r="12" customFormat="false" ht="15" hidden="false" customHeight="false" outlineLevel="0" collapsed="false">
      <c r="A12" s="17" t="s">
        <v>238</v>
      </c>
    </row>
    <row r="13" customFormat="false" ht="15" hidden="false" customHeight="false" outlineLevel="0" collapsed="false">
      <c r="A13" s="4" t="s">
        <v>17</v>
      </c>
      <c r="B13" s="3" t="s">
        <v>212</v>
      </c>
      <c r="C13" s="3" t="s">
        <v>213</v>
      </c>
      <c r="D13" s="3" t="s">
        <v>214</v>
      </c>
      <c r="E13" s="3" t="s">
        <v>215</v>
      </c>
      <c r="F13" s="3" t="s">
        <v>216</v>
      </c>
      <c r="G13" s="3" t="s">
        <v>217</v>
      </c>
      <c r="H13" s="4" t="s">
        <v>232</v>
      </c>
      <c r="I13" s="4" t="s">
        <v>239</v>
      </c>
      <c r="J13" s="4" t="s">
        <v>240</v>
      </c>
    </row>
    <row r="14" customFormat="false" ht="15" hidden="false" customHeight="false" outlineLevel="0" collapsed="false">
      <c r="A14" s="13" t="str">
        <f aca="false">"〜"&amp;IF(J14&gt;=100000000,TEXT(J14/100000000,"0.0")&amp;"億",TEXT(J14/10000,"#,##0")&amp;"万")&amp;"未満"</f>
        <v>〜5,000万未満</v>
      </c>
      <c r="B14" s="10" t="n">
        <f aca="false">COUNTIFS(物件データ!$L$5:$L$180,1,物件データ!$J$5:$J$180,B$4,物件データ!$G$5:$G$180,"&gt;0",物件データ!$G$5:$G$180,"&lt;"&amp;$J14)</f>
        <v>13</v>
      </c>
      <c r="C14" s="10" t="n">
        <f aca="false">COUNTIFS(物件データ!$L$5:$L$180,1,物件データ!$J$5:$J$180,C$4,物件データ!$G$5:$G$180,"&gt;0",物件データ!$G$5:$G$180,"&lt;"&amp;$J14)</f>
        <v>15</v>
      </c>
      <c r="D14" s="10" t="n">
        <f aca="false">COUNTIFS(物件データ!$L$5:$L$180,1,物件データ!$J$5:$J$180,D$4,物件データ!$G$5:$G$180,"&gt;0",物件データ!$G$5:$G$180,"&lt;"&amp;$J14)</f>
        <v>2</v>
      </c>
      <c r="E14" s="10" t="n">
        <f aca="false">COUNTIFS(物件データ!$L$5:$L$180,1,物件データ!$J$5:$J$180,E$4,物件データ!$G$5:$G$180,"&gt;0",物件データ!$G$5:$G$180,"&lt;"&amp;$J14)</f>
        <v>19</v>
      </c>
      <c r="F14" s="10" t="n">
        <f aca="false">COUNTIFS(物件データ!$L$5:$L$180,1,物件データ!$J$5:$J$180,F$4,物件データ!$G$5:$G$180,"&gt;0",物件データ!$G$5:$G$180,"&lt;"&amp;$J14)</f>
        <v>6</v>
      </c>
      <c r="G14" s="10" t="n">
        <f aca="false">COUNTIFS(物件データ!$L$5:$L$180,1,物件データ!$J$5:$J$180,G$4,物件データ!$G$5:$G$180,"&gt;0",物件データ!$G$5:$G$180,"&lt;"&amp;$J14)</f>
        <v>2</v>
      </c>
      <c r="H14" s="10" t="n">
        <f aca="false">COUNTIFS(物件データ!$L$5:$L$180,1,物件データ!$J$5:$J$180,"?*",物件データ!$G$5:$G$180,"&gt;0",物件データ!$G$5:$G$180,"&lt;"&amp;$J14)</f>
        <v>57</v>
      </c>
      <c r="I14" s="21" t="n">
        <f aca="false">設定!$B$5*0</f>
        <v>0</v>
      </c>
      <c r="J14" s="21" t="n">
        <f aca="false">設定!$B$5*1</f>
        <v>50000000</v>
      </c>
    </row>
    <row r="15" customFormat="false" ht="15" hidden="false" customHeight="false" outlineLevel="0" collapsed="false">
      <c r="A15" s="13" t="str">
        <f aca="false">IF(I15&gt;=100000000,TEXT(I15/100000000,"0.0")&amp;"億",TEXT(I15/10000,"#,##0")&amp;"万")&amp;"〜"&amp;IF(J15&gt;=100000000,TEXT(J15/100000000,"0.0")&amp;"億",TEXT(J15/10000,"#,##0")&amp;"万")&amp;"未満"</f>
        <v>5,000万〜1.0億未満</v>
      </c>
      <c r="B15" s="10" t="n">
        <f aca="false">COUNTIFS(物件データ!$L$5:$L$180,1,物件データ!$J$5:$J$180,B$4,物件データ!$G$5:$G$180,"&gt;="&amp;$I15,物件データ!$G$5:$G$180,"&lt;"&amp;$J15)</f>
        <v>14</v>
      </c>
      <c r="C15" s="10" t="n">
        <f aca="false">COUNTIFS(物件データ!$L$5:$L$180,1,物件データ!$J$5:$J$180,C$4,物件データ!$G$5:$G$180,"&gt;="&amp;$I15,物件データ!$G$5:$G$180,"&lt;"&amp;$J15)</f>
        <v>13</v>
      </c>
      <c r="D15" s="10" t="n">
        <f aca="false">COUNTIFS(物件データ!$L$5:$L$180,1,物件データ!$J$5:$J$180,D$4,物件データ!$G$5:$G$180,"&gt;="&amp;$I15,物件データ!$G$5:$G$180,"&lt;"&amp;$J15)</f>
        <v>4</v>
      </c>
      <c r="E15" s="10" t="n">
        <f aca="false">COUNTIFS(物件データ!$L$5:$L$180,1,物件データ!$J$5:$J$180,E$4,物件データ!$G$5:$G$180,"&gt;="&amp;$I15,物件データ!$G$5:$G$180,"&lt;"&amp;$J15)</f>
        <v>8</v>
      </c>
      <c r="F15" s="10" t="n">
        <f aca="false">COUNTIFS(物件データ!$L$5:$L$180,1,物件データ!$J$5:$J$180,F$4,物件データ!$G$5:$G$180,"&gt;="&amp;$I15,物件データ!$G$5:$G$180,"&lt;"&amp;$J15)</f>
        <v>11</v>
      </c>
      <c r="G15" s="10" t="n">
        <f aca="false">COUNTIFS(物件データ!$L$5:$L$180,1,物件データ!$J$5:$J$180,G$4,物件データ!$G$5:$G$180,"&gt;="&amp;$I15,物件データ!$G$5:$G$180,"&lt;"&amp;$J15)</f>
        <v>3</v>
      </c>
      <c r="H15" s="10" t="n">
        <f aca="false">COUNTIFS(物件データ!$L$5:$L$180,1,物件データ!$J$5:$J$180,"?*",物件データ!$G$5:$G$180,"&gt;="&amp;$I15,物件データ!$G$5:$G$180,"&lt;"&amp;$J15)</f>
        <v>53</v>
      </c>
      <c r="I15" s="21" t="n">
        <f aca="false">設定!$B$5*1</f>
        <v>50000000</v>
      </c>
      <c r="J15" s="21" t="n">
        <f aca="false">設定!$B$5*2</f>
        <v>100000000</v>
      </c>
    </row>
    <row r="16" customFormat="false" ht="15" hidden="false" customHeight="false" outlineLevel="0" collapsed="false">
      <c r="A16" s="13" t="str">
        <f aca="false">IF(I16&gt;=100000000,TEXT(I16/100000000,"0.0")&amp;"億",TEXT(I16/10000,"#,##0")&amp;"万")&amp;"〜"&amp;IF(J16&gt;=100000000,TEXT(J16/100000000,"0.0")&amp;"億",TEXT(J16/10000,"#,##0")&amp;"万")&amp;"未満"</f>
        <v>1.0億〜1.5億未満</v>
      </c>
      <c r="B16" s="10" t="n">
        <f aca="false">COUNTIFS(物件データ!$L$5:$L$180,1,物件データ!$J$5:$J$180,B$4,物件データ!$G$5:$G$180,"&gt;="&amp;$I16,物件データ!$G$5:$G$180,"&lt;"&amp;$J16)</f>
        <v>3</v>
      </c>
      <c r="C16" s="10" t="n">
        <f aca="false">COUNTIFS(物件データ!$L$5:$L$180,1,物件データ!$J$5:$J$180,C$4,物件データ!$G$5:$G$180,"&gt;="&amp;$I16,物件データ!$G$5:$G$180,"&lt;"&amp;$J16)</f>
        <v>1</v>
      </c>
      <c r="D16" s="10" t="n">
        <f aca="false">COUNTIFS(物件データ!$L$5:$L$180,1,物件データ!$J$5:$J$180,D$4,物件データ!$G$5:$G$180,"&gt;="&amp;$I16,物件データ!$G$5:$G$180,"&lt;"&amp;$J16)</f>
        <v>0</v>
      </c>
      <c r="E16" s="10" t="n">
        <f aca="false">COUNTIFS(物件データ!$L$5:$L$180,1,物件データ!$J$5:$J$180,E$4,物件データ!$G$5:$G$180,"&gt;="&amp;$I16,物件データ!$G$5:$G$180,"&lt;"&amp;$J16)</f>
        <v>5</v>
      </c>
      <c r="F16" s="10" t="n">
        <f aca="false">COUNTIFS(物件データ!$L$5:$L$180,1,物件データ!$J$5:$J$180,F$4,物件データ!$G$5:$G$180,"&gt;="&amp;$I16,物件データ!$G$5:$G$180,"&lt;"&amp;$J16)</f>
        <v>5</v>
      </c>
      <c r="G16" s="10" t="n">
        <f aca="false">COUNTIFS(物件データ!$L$5:$L$180,1,物件データ!$J$5:$J$180,G$4,物件データ!$G$5:$G$180,"&gt;="&amp;$I16,物件データ!$G$5:$G$180,"&lt;"&amp;$J16)</f>
        <v>0</v>
      </c>
      <c r="H16" s="10" t="n">
        <f aca="false">COUNTIFS(物件データ!$L$5:$L$180,1,物件データ!$J$5:$J$180,"?*",物件データ!$G$5:$G$180,"&gt;="&amp;$I16,物件データ!$G$5:$G$180,"&lt;"&amp;$J16)</f>
        <v>14</v>
      </c>
      <c r="I16" s="21" t="n">
        <f aca="false">設定!$B$5*2</f>
        <v>100000000</v>
      </c>
      <c r="J16" s="21" t="n">
        <f aca="false">設定!$B$5*3</f>
        <v>150000000</v>
      </c>
    </row>
    <row r="17" customFormat="false" ht="15" hidden="false" customHeight="false" outlineLevel="0" collapsed="false">
      <c r="A17" s="13" t="str">
        <f aca="false">IF(I17&gt;=100000000,TEXT(I17/100000000,"0.0")&amp;"億",TEXT(I17/10000,"#,##0")&amp;"万")&amp;"〜"&amp;IF(J17&gt;=100000000,TEXT(J17/100000000,"0.0")&amp;"億",TEXT(J17/10000,"#,##0")&amp;"万")&amp;"未満"</f>
        <v>1.5億〜2.0億未満</v>
      </c>
      <c r="B17" s="10" t="n">
        <f aca="false">COUNTIFS(物件データ!$L$5:$L$180,1,物件データ!$J$5:$J$180,B$4,物件データ!$G$5:$G$180,"&gt;="&amp;$I17,物件データ!$G$5:$G$180,"&lt;"&amp;$J17)</f>
        <v>0</v>
      </c>
      <c r="C17" s="10" t="n">
        <f aca="false">COUNTIFS(物件データ!$L$5:$L$180,1,物件データ!$J$5:$J$180,C$4,物件データ!$G$5:$G$180,"&gt;="&amp;$I17,物件データ!$G$5:$G$180,"&lt;"&amp;$J17)</f>
        <v>0</v>
      </c>
      <c r="D17" s="10" t="n">
        <f aca="false">COUNTIFS(物件データ!$L$5:$L$180,1,物件データ!$J$5:$J$180,D$4,物件データ!$G$5:$G$180,"&gt;="&amp;$I17,物件データ!$G$5:$G$180,"&lt;"&amp;$J17)</f>
        <v>0</v>
      </c>
      <c r="E17" s="10" t="n">
        <f aca="false">COUNTIFS(物件データ!$L$5:$L$180,1,物件データ!$J$5:$J$180,E$4,物件データ!$G$5:$G$180,"&gt;="&amp;$I17,物件データ!$G$5:$G$180,"&lt;"&amp;$J17)</f>
        <v>0</v>
      </c>
      <c r="F17" s="10" t="n">
        <f aca="false">COUNTIFS(物件データ!$L$5:$L$180,1,物件データ!$J$5:$J$180,F$4,物件データ!$G$5:$G$180,"&gt;="&amp;$I17,物件データ!$G$5:$G$180,"&lt;"&amp;$J17)</f>
        <v>2</v>
      </c>
      <c r="G17" s="10" t="n">
        <f aca="false">COUNTIFS(物件データ!$L$5:$L$180,1,物件データ!$J$5:$J$180,G$4,物件データ!$G$5:$G$180,"&gt;="&amp;$I17,物件データ!$G$5:$G$180,"&lt;"&amp;$J17)</f>
        <v>1</v>
      </c>
      <c r="H17" s="10" t="n">
        <f aca="false">COUNTIFS(物件データ!$L$5:$L$180,1,物件データ!$J$5:$J$180,"?*",物件データ!$G$5:$G$180,"&gt;="&amp;$I17,物件データ!$G$5:$G$180,"&lt;"&amp;$J17)</f>
        <v>3</v>
      </c>
      <c r="I17" s="21" t="n">
        <f aca="false">設定!$B$5*3</f>
        <v>150000000</v>
      </c>
      <c r="J17" s="21" t="n">
        <f aca="false">設定!$B$5*4</f>
        <v>200000000</v>
      </c>
    </row>
    <row r="18" customFormat="false" ht="15" hidden="false" customHeight="false" outlineLevel="0" collapsed="false">
      <c r="A18" s="13" t="str">
        <f aca="false">IF(I18&gt;=100000000,TEXT(I18/100000000,"0.0")&amp;"億",TEXT(I18/10000,"#,##0")&amp;"万")&amp;"〜"&amp;IF(J18&gt;=100000000,TEXT(J18/100000000,"0.0")&amp;"億",TEXT(J18/10000,"#,##0")&amp;"万")&amp;"未満"</f>
        <v>2.0億〜2.5億未満</v>
      </c>
      <c r="B18" s="10" t="n">
        <f aca="false">COUNTIFS(物件データ!$L$5:$L$180,1,物件データ!$J$5:$J$180,B$4,物件データ!$G$5:$G$180,"&gt;="&amp;$I18,物件データ!$G$5:$G$180,"&lt;"&amp;$J18)</f>
        <v>0</v>
      </c>
      <c r="C18" s="10" t="n">
        <f aca="false">COUNTIFS(物件データ!$L$5:$L$180,1,物件データ!$J$5:$J$180,C$4,物件データ!$G$5:$G$180,"&gt;="&amp;$I18,物件データ!$G$5:$G$180,"&lt;"&amp;$J18)</f>
        <v>2</v>
      </c>
      <c r="D18" s="10" t="n">
        <f aca="false">COUNTIFS(物件データ!$L$5:$L$180,1,物件データ!$J$5:$J$180,D$4,物件データ!$G$5:$G$180,"&gt;="&amp;$I18,物件データ!$G$5:$G$180,"&lt;"&amp;$J18)</f>
        <v>0</v>
      </c>
      <c r="E18" s="10" t="n">
        <f aca="false">COUNTIFS(物件データ!$L$5:$L$180,1,物件データ!$J$5:$J$180,E$4,物件データ!$G$5:$G$180,"&gt;="&amp;$I18,物件データ!$G$5:$G$180,"&lt;"&amp;$J18)</f>
        <v>0</v>
      </c>
      <c r="F18" s="10" t="n">
        <f aca="false">COUNTIFS(物件データ!$L$5:$L$180,1,物件データ!$J$5:$J$180,F$4,物件データ!$G$5:$G$180,"&gt;="&amp;$I18,物件データ!$G$5:$G$180,"&lt;"&amp;$J18)</f>
        <v>1</v>
      </c>
      <c r="G18" s="10" t="n">
        <f aca="false">COUNTIFS(物件データ!$L$5:$L$180,1,物件データ!$J$5:$J$180,G$4,物件データ!$G$5:$G$180,"&gt;="&amp;$I18,物件データ!$G$5:$G$180,"&lt;"&amp;$J18)</f>
        <v>0</v>
      </c>
      <c r="H18" s="10" t="n">
        <f aca="false">COUNTIFS(物件データ!$L$5:$L$180,1,物件データ!$J$5:$J$180,"?*",物件データ!$G$5:$G$180,"&gt;="&amp;$I18,物件データ!$G$5:$G$180,"&lt;"&amp;$J18)</f>
        <v>3</v>
      </c>
      <c r="I18" s="21" t="n">
        <f aca="false">設定!$B$5*4</f>
        <v>200000000</v>
      </c>
      <c r="J18" s="21" t="n">
        <f aca="false">設定!$B$5*5</f>
        <v>250000000</v>
      </c>
    </row>
    <row r="19" customFormat="false" ht="15" hidden="false" customHeight="false" outlineLevel="0" collapsed="false">
      <c r="A19" s="13" t="str">
        <f aca="false">IF(I19&gt;=100000000,TEXT(I19/100000000,"0.0")&amp;"億",TEXT(I19/10000,"#,##0")&amp;"万")&amp;"〜"&amp;IF(J19&gt;=100000000,TEXT(J19/100000000,"0.0")&amp;"億",TEXT(J19/10000,"#,##0")&amp;"万")&amp;"未満"</f>
        <v>2.5億〜3.0億未満</v>
      </c>
      <c r="B19" s="10" t="n">
        <f aca="false">COUNTIFS(物件データ!$L$5:$L$180,1,物件データ!$J$5:$J$180,B$4,物件データ!$G$5:$G$180,"&gt;="&amp;$I19,物件データ!$G$5:$G$180,"&lt;"&amp;$J19)</f>
        <v>0</v>
      </c>
      <c r="C19" s="10" t="n">
        <f aca="false">COUNTIFS(物件データ!$L$5:$L$180,1,物件データ!$J$5:$J$180,C$4,物件データ!$G$5:$G$180,"&gt;="&amp;$I19,物件データ!$G$5:$G$180,"&lt;"&amp;$J19)</f>
        <v>0</v>
      </c>
      <c r="D19" s="10" t="n">
        <f aca="false">COUNTIFS(物件データ!$L$5:$L$180,1,物件データ!$J$5:$J$180,D$4,物件データ!$G$5:$G$180,"&gt;="&amp;$I19,物件データ!$G$5:$G$180,"&lt;"&amp;$J19)</f>
        <v>0</v>
      </c>
      <c r="E19" s="10" t="n">
        <f aca="false">COUNTIFS(物件データ!$L$5:$L$180,1,物件データ!$J$5:$J$180,E$4,物件データ!$G$5:$G$180,"&gt;="&amp;$I19,物件データ!$G$5:$G$180,"&lt;"&amp;$J19)</f>
        <v>0</v>
      </c>
      <c r="F19" s="10" t="n">
        <f aca="false">COUNTIFS(物件データ!$L$5:$L$180,1,物件データ!$J$5:$J$180,F$4,物件データ!$G$5:$G$180,"&gt;="&amp;$I19,物件データ!$G$5:$G$180,"&lt;"&amp;$J19)</f>
        <v>1</v>
      </c>
      <c r="G19" s="10" t="n">
        <f aca="false">COUNTIFS(物件データ!$L$5:$L$180,1,物件データ!$J$5:$J$180,G$4,物件データ!$G$5:$G$180,"&gt;="&amp;$I19,物件データ!$G$5:$G$180,"&lt;"&amp;$J19)</f>
        <v>0</v>
      </c>
      <c r="H19" s="10" t="n">
        <f aca="false">COUNTIFS(物件データ!$L$5:$L$180,1,物件データ!$J$5:$J$180,"?*",物件データ!$G$5:$G$180,"&gt;="&amp;$I19,物件データ!$G$5:$G$180,"&lt;"&amp;$J19)</f>
        <v>1</v>
      </c>
      <c r="I19" s="21" t="n">
        <f aca="false">設定!$B$5*5</f>
        <v>250000000</v>
      </c>
      <c r="J19" s="21" t="n">
        <f aca="false">設定!$B$5*6</f>
        <v>300000000</v>
      </c>
    </row>
    <row r="20" customFormat="false" ht="15" hidden="false" customHeight="false" outlineLevel="0" collapsed="false">
      <c r="A20" s="13" t="str">
        <f aca="false">IF(I20&gt;=100000000,TEXT(I20/100000000,"0.0")&amp;"億",TEXT(I20/10000,"#,##0")&amp;"万")&amp;"〜"&amp;IF(J20&gt;=100000000,TEXT(J20/100000000,"0.0")&amp;"億",TEXT(J20/10000,"#,##0")&amp;"万")&amp;"未満"</f>
        <v>3.0億〜3.5億未満</v>
      </c>
      <c r="B20" s="10" t="n">
        <f aca="false">COUNTIFS(物件データ!$L$5:$L$180,1,物件データ!$J$5:$J$180,B$4,物件データ!$G$5:$G$180,"&gt;="&amp;$I20,物件データ!$G$5:$G$180,"&lt;"&amp;$J20)</f>
        <v>0</v>
      </c>
      <c r="C20" s="10" t="n">
        <f aca="false">COUNTIFS(物件データ!$L$5:$L$180,1,物件データ!$J$5:$J$180,C$4,物件データ!$G$5:$G$180,"&gt;="&amp;$I20,物件データ!$G$5:$G$180,"&lt;"&amp;$J20)</f>
        <v>0</v>
      </c>
      <c r="D20" s="10" t="n">
        <f aca="false">COUNTIFS(物件データ!$L$5:$L$180,1,物件データ!$J$5:$J$180,D$4,物件データ!$G$5:$G$180,"&gt;="&amp;$I20,物件データ!$G$5:$G$180,"&lt;"&amp;$J20)</f>
        <v>0</v>
      </c>
      <c r="E20" s="10" t="n">
        <f aca="false">COUNTIFS(物件データ!$L$5:$L$180,1,物件データ!$J$5:$J$180,E$4,物件データ!$G$5:$G$180,"&gt;="&amp;$I20,物件データ!$G$5:$G$180,"&lt;"&amp;$J20)</f>
        <v>1</v>
      </c>
      <c r="F20" s="10" t="n">
        <f aca="false">COUNTIFS(物件データ!$L$5:$L$180,1,物件データ!$J$5:$J$180,F$4,物件データ!$G$5:$G$180,"&gt;="&amp;$I20,物件データ!$G$5:$G$180,"&lt;"&amp;$J20)</f>
        <v>1</v>
      </c>
      <c r="G20" s="10" t="n">
        <f aca="false">COUNTIFS(物件データ!$L$5:$L$180,1,物件データ!$J$5:$J$180,G$4,物件データ!$G$5:$G$180,"&gt;="&amp;$I20,物件データ!$G$5:$G$180,"&lt;"&amp;$J20)</f>
        <v>0</v>
      </c>
      <c r="H20" s="10" t="n">
        <f aca="false">COUNTIFS(物件データ!$L$5:$L$180,1,物件データ!$J$5:$J$180,"?*",物件データ!$G$5:$G$180,"&gt;="&amp;$I20,物件データ!$G$5:$G$180,"&lt;"&amp;$J20)</f>
        <v>2</v>
      </c>
      <c r="I20" s="21" t="n">
        <f aca="false">設定!$B$5*6</f>
        <v>300000000</v>
      </c>
      <c r="J20" s="21" t="n">
        <f aca="false">設定!$B$5*7</f>
        <v>350000000</v>
      </c>
    </row>
    <row r="21" customFormat="false" ht="15" hidden="false" customHeight="false" outlineLevel="0" collapsed="false">
      <c r="A21" s="13" t="str">
        <f aca="false">IF(I21&gt;=100000000,TEXT(I21/100000000,"0.0")&amp;"億",TEXT(I21/10000,"#,##0")&amp;"万")&amp;"〜"&amp;IF(J21&gt;=100000000,TEXT(J21/100000000,"0.0")&amp;"億",TEXT(J21/10000,"#,##0")&amp;"万")&amp;"未満"</f>
        <v>3.5億〜4.0億未満</v>
      </c>
      <c r="B21" s="10" t="n">
        <f aca="false">COUNTIFS(物件データ!$L$5:$L$180,1,物件データ!$J$5:$J$180,B$4,物件データ!$G$5:$G$180,"&gt;="&amp;$I21,物件データ!$G$5:$G$180,"&lt;"&amp;$J21)</f>
        <v>0</v>
      </c>
      <c r="C21" s="10" t="n">
        <f aca="false">COUNTIFS(物件データ!$L$5:$L$180,1,物件データ!$J$5:$J$180,C$4,物件データ!$G$5:$G$180,"&gt;="&amp;$I21,物件データ!$G$5:$G$180,"&lt;"&amp;$J21)</f>
        <v>0</v>
      </c>
      <c r="D21" s="10" t="n">
        <f aca="false">COUNTIFS(物件データ!$L$5:$L$180,1,物件データ!$J$5:$J$180,D$4,物件データ!$G$5:$G$180,"&gt;="&amp;$I21,物件データ!$G$5:$G$180,"&lt;"&amp;$J21)</f>
        <v>0</v>
      </c>
      <c r="E21" s="10" t="n">
        <f aca="false">COUNTIFS(物件データ!$L$5:$L$180,1,物件データ!$J$5:$J$180,E$4,物件データ!$G$5:$G$180,"&gt;="&amp;$I21,物件データ!$G$5:$G$180,"&lt;"&amp;$J21)</f>
        <v>0</v>
      </c>
      <c r="F21" s="10" t="n">
        <f aca="false">COUNTIFS(物件データ!$L$5:$L$180,1,物件データ!$J$5:$J$180,F$4,物件データ!$G$5:$G$180,"&gt;="&amp;$I21,物件データ!$G$5:$G$180,"&lt;"&amp;$J21)</f>
        <v>0</v>
      </c>
      <c r="G21" s="10" t="n">
        <f aca="false">COUNTIFS(物件データ!$L$5:$L$180,1,物件データ!$J$5:$J$180,G$4,物件データ!$G$5:$G$180,"&gt;="&amp;$I21,物件データ!$G$5:$G$180,"&lt;"&amp;$J21)</f>
        <v>0</v>
      </c>
      <c r="H21" s="10" t="n">
        <f aca="false">COUNTIFS(物件データ!$L$5:$L$180,1,物件データ!$J$5:$J$180,"?*",物件データ!$G$5:$G$180,"&gt;="&amp;$I21,物件データ!$G$5:$G$180,"&lt;"&amp;$J21)</f>
        <v>0</v>
      </c>
      <c r="I21" s="21" t="n">
        <f aca="false">設定!$B$5*7</f>
        <v>350000000</v>
      </c>
      <c r="J21" s="21" t="n">
        <f aca="false">設定!$B$5*8</f>
        <v>400000000</v>
      </c>
    </row>
    <row r="22" customFormat="false" ht="15" hidden="false" customHeight="false" outlineLevel="0" collapsed="false">
      <c r="A22" s="13" t="str">
        <f aca="false">IF(I22&gt;=100000000,TEXT(I22/100000000,"0.0")&amp;"億",TEXT(I22/10000,"#,##0")&amp;"万")&amp;"〜"&amp;IF(J22&gt;=100000000,TEXT(J22/100000000,"0.0")&amp;"億",TEXT(J22/10000,"#,##0")&amp;"万")&amp;"未満"</f>
        <v>4.0億〜4.5億未満</v>
      </c>
      <c r="B22" s="10" t="n">
        <f aca="false">COUNTIFS(物件データ!$L$5:$L$180,1,物件データ!$J$5:$J$180,B$4,物件データ!$G$5:$G$180,"&gt;="&amp;$I22,物件データ!$G$5:$G$180,"&lt;"&amp;$J22)</f>
        <v>0</v>
      </c>
      <c r="C22" s="10" t="n">
        <f aca="false">COUNTIFS(物件データ!$L$5:$L$180,1,物件データ!$J$5:$J$180,C$4,物件データ!$G$5:$G$180,"&gt;="&amp;$I22,物件データ!$G$5:$G$180,"&lt;"&amp;$J22)</f>
        <v>1</v>
      </c>
      <c r="D22" s="10" t="n">
        <f aca="false">COUNTIFS(物件データ!$L$5:$L$180,1,物件データ!$J$5:$J$180,D$4,物件データ!$G$5:$G$180,"&gt;="&amp;$I22,物件データ!$G$5:$G$180,"&lt;"&amp;$J22)</f>
        <v>0</v>
      </c>
      <c r="E22" s="10" t="n">
        <f aca="false">COUNTIFS(物件データ!$L$5:$L$180,1,物件データ!$J$5:$J$180,E$4,物件データ!$G$5:$G$180,"&gt;="&amp;$I22,物件データ!$G$5:$G$180,"&lt;"&amp;$J22)</f>
        <v>0</v>
      </c>
      <c r="F22" s="10" t="n">
        <f aca="false">COUNTIFS(物件データ!$L$5:$L$180,1,物件データ!$J$5:$J$180,F$4,物件データ!$G$5:$G$180,"&gt;="&amp;$I22,物件データ!$G$5:$G$180,"&lt;"&amp;$J22)</f>
        <v>0</v>
      </c>
      <c r="G22" s="10" t="n">
        <f aca="false">COUNTIFS(物件データ!$L$5:$L$180,1,物件データ!$J$5:$J$180,G$4,物件データ!$G$5:$G$180,"&gt;="&amp;$I22,物件データ!$G$5:$G$180,"&lt;"&amp;$J22)</f>
        <v>0</v>
      </c>
      <c r="H22" s="10" t="n">
        <f aca="false">COUNTIFS(物件データ!$L$5:$L$180,1,物件データ!$J$5:$J$180,"?*",物件データ!$G$5:$G$180,"&gt;="&amp;$I22,物件データ!$G$5:$G$180,"&lt;"&amp;$J22)</f>
        <v>1</v>
      </c>
      <c r="I22" s="21" t="n">
        <f aca="false">設定!$B$5*8</f>
        <v>400000000</v>
      </c>
      <c r="J22" s="21" t="n">
        <f aca="false">設定!$B$5*9</f>
        <v>450000000</v>
      </c>
    </row>
    <row r="23" customFormat="false" ht="15" hidden="false" customHeight="false" outlineLevel="0" collapsed="false">
      <c r="A23" s="16" t="s">
        <v>218</v>
      </c>
      <c r="B23" s="14" t="n">
        <f aca="false">SUM(B14:B22)</f>
        <v>30</v>
      </c>
      <c r="C23" s="14" t="n">
        <f aca="false">SUM(C14:C22)</f>
        <v>32</v>
      </c>
      <c r="D23" s="14" t="n">
        <f aca="false">SUM(D14:D22)</f>
        <v>6</v>
      </c>
      <c r="E23" s="14" t="n">
        <f aca="false">SUM(E14:E22)</f>
        <v>33</v>
      </c>
      <c r="F23" s="14" t="n">
        <f aca="false">SUM(F14:F22)</f>
        <v>27</v>
      </c>
      <c r="G23" s="14" t="n">
        <f aca="false">SUM(G14:G22)</f>
        <v>6</v>
      </c>
      <c r="H23" s="14" t="n">
        <f aca="false">SUM(H14:H22)</f>
        <v>134</v>
      </c>
    </row>
    <row r="25" customFormat="false" ht="15" hidden="false" customHeight="false" outlineLevel="0" collapsed="false">
      <c r="A25" s="17" t="s">
        <v>241</v>
      </c>
    </row>
    <row r="26" customFormat="false" ht="15" hidden="false" customHeight="false" outlineLevel="0" collapsed="false">
      <c r="A26" s="4" t="s">
        <v>17</v>
      </c>
      <c r="B26" s="3" t="s">
        <v>212</v>
      </c>
      <c r="C26" s="3" t="s">
        <v>213</v>
      </c>
      <c r="D26" s="3" t="s">
        <v>214</v>
      </c>
      <c r="E26" s="3" t="s">
        <v>215</v>
      </c>
      <c r="F26" s="3" t="s">
        <v>216</v>
      </c>
      <c r="G26" s="3" t="s">
        <v>217</v>
      </c>
      <c r="H26" s="4" t="s">
        <v>232</v>
      </c>
    </row>
    <row r="27" customFormat="false" ht="15" hidden="false" customHeight="false" outlineLevel="0" collapsed="false">
      <c r="A27" s="13" t="str">
        <f aca="false">A14</f>
        <v>〜5,000万未満</v>
      </c>
      <c r="B27" s="11" t="n">
        <f aca="false">IF(B$23=0,"",B14/B$23)</f>
        <v>0.433333333333333</v>
      </c>
      <c r="C27" s="11" t="n">
        <f aca="false">IF(C$23=0,"",C14/C$23)</f>
        <v>0.46875</v>
      </c>
      <c r="D27" s="11" t="n">
        <f aca="false">IF(D$23=0,"",D14/D$23)</f>
        <v>0.333333333333333</v>
      </c>
      <c r="E27" s="11" t="n">
        <f aca="false">IF(E$23=0,"",E14/E$23)</f>
        <v>0.575757575757576</v>
      </c>
      <c r="F27" s="11" t="n">
        <f aca="false">IF(F$23=0,"",F14/F$23)</f>
        <v>0.222222222222222</v>
      </c>
      <c r="G27" s="11" t="n">
        <f aca="false">IF(G$23=0,"",G14/G$23)</f>
        <v>0.333333333333333</v>
      </c>
      <c r="H27" s="11" t="n">
        <f aca="false">IF(H$23=0,"",H14/H$23)</f>
        <v>0.425373134328358</v>
      </c>
    </row>
    <row r="28" customFormat="false" ht="15" hidden="false" customHeight="false" outlineLevel="0" collapsed="false">
      <c r="A28" s="13" t="str">
        <f aca="false">A15</f>
        <v>5,000万〜1.0億未満</v>
      </c>
      <c r="B28" s="11" t="n">
        <f aca="false">IF(B$23=0,"",B15/B$23)</f>
        <v>0.466666666666667</v>
      </c>
      <c r="C28" s="11" t="n">
        <f aca="false">IF(C$23=0,"",C15/C$23)</f>
        <v>0.40625</v>
      </c>
      <c r="D28" s="11" t="n">
        <f aca="false">IF(D$23=0,"",D15/D$23)</f>
        <v>0.666666666666667</v>
      </c>
      <c r="E28" s="11" t="n">
        <f aca="false">IF(E$23=0,"",E15/E$23)</f>
        <v>0.242424242424242</v>
      </c>
      <c r="F28" s="11" t="n">
        <f aca="false">IF(F$23=0,"",F15/F$23)</f>
        <v>0.407407407407407</v>
      </c>
      <c r="G28" s="11" t="n">
        <f aca="false">IF(G$23=0,"",G15/G$23)</f>
        <v>0.5</v>
      </c>
      <c r="H28" s="11" t="n">
        <f aca="false">IF(H$23=0,"",H15/H$23)</f>
        <v>0.395522388059701</v>
      </c>
    </row>
    <row r="29" customFormat="false" ht="15" hidden="false" customHeight="false" outlineLevel="0" collapsed="false">
      <c r="A29" s="13" t="str">
        <f aca="false">A16</f>
        <v>1.0億〜1.5億未満</v>
      </c>
      <c r="B29" s="11" t="n">
        <f aca="false">IF(B$23=0,"",B16/B$23)</f>
        <v>0.1</v>
      </c>
      <c r="C29" s="11" t="n">
        <f aca="false">IF(C$23=0,"",C16/C$23)</f>
        <v>0.03125</v>
      </c>
      <c r="D29" s="11" t="n">
        <f aca="false">IF(D$23=0,"",D16/D$23)</f>
        <v>0</v>
      </c>
      <c r="E29" s="11" t="n">
        <f aca="false">IF(E$23=0,"",E16/E$23)</f>
        <v>0.151515151515152</v>
      </c>
      <c r="F29" s="11" t="n">
        <f aca="false">IF(F$23=0,"",F16/F$23)</f>
        <v>0.185185185185185</v>
      </c>
      <c r="G29" s="11" t="n">
        <f aca="false">IF(G$23=0,"",G16/G$23)</f>
        <v>0</v>
      </c>
      <c r="H29" s="11" t="n">
        <f aca="false">IF(H$23=0,"",H16/H$23)</f>
        <v>0.104477611940299</v>
      </c>
    </row>
    <row r="30" customFormat="false" ht="15" hidden="false" customHeight="false" outlineLevel="0" collapsed="false">
      <c r="A30" s="13" t="str">
        <f aca="false">A17</f>
        <v>1.5億〜2.0億未満</v>
      </c>
      <c r="B30" s="11" t="n">
        <f aca="false">IF(B$23=0,"",B17/B$23)</f>
        <v>0</v>
      </c>
      <c r="C30" s="11" t="n">
        <f aca="false">IF(C$23=0,"",C17/C$23)</f>
        <v>0</v>
      </c>
      <c r="D30" s="11" t="n">
        <f aca="false">IF(D$23=0,"",D17/D$23)</f>
        <v>0</v>
      </c>
      <c r="E30" s="11" t="n">
        <f aca="false">IF(E$23=0,"",E17/E$23)</f>
        <v>0</v>
      </c>
      <c r="F30" s="11" t="n">
        <f aca="false">IF(F$23=0,"",F17/F$23)</f>
        <v>0.0740740740740741</v>
      </c>
      <c r="G30" s="11" t="n">
        <f aca="false">IF(G$23=0,"",G17/G$23)</f>
        <v>0.166666666666667</v>
      </c>
      <c r="H30" s="11" t="n">
        <f aca="false">IF(H$23=0,"",H17/H$23)</f>
        <v>0.0223880597014925</v>
      </c>
    </row>
    <row r="31" customFormat="false" ht="15" hidden="false" customHeight="false" outlineLevel="0" collapsed="false">
      <c r="A31" s="13" t="str">
        <f aca="false">A18</f>
        <v>2.0億〜2.5億未満</v>
      </c>
      <c r="B31" s="11" t="n">
        <f aca="false">IF(B$23=0,"",B18/B$23)</f>
        <v>0</v>
      </c>
      <c r="C31" s="11" t="n">
        <f aca="false">IF(C$23=0,"",C18/C$23)</f>
        <v>0.0625</v>
      </c>
      <c r="D31" s="11" t="n">
        <f aca="false">IF(D$23=0,"",D18/D$23)</f>
        <v>0</v>
      </c>
      <c r="E31" s="11" t="n">
        <f aca="false">IF(E$23=0,"",E18/E$23)</f>
        <v>0</v>
      </c>
      <c r="F31" s="11" t="n">
        <f aca="false">IF(F$23=0,"",F18/F$23)</f>
        <v>0.037037037037037</v>
      </c>
      <c r="G31" s="11" t="n">
        <f aca="false">IF(G$23=0,"",G18/G$23)</f>
        <v>0</v>
      </c>
      <c r="H31" s="11" t="n">
        <f aca="false">IF(H$23=0,"",H18/H$23)</f>
        <v>0.0223880597014925</v>
      </c>
    </row>
    <row r="32" customFormat="false" ht="15" hidden="false" customHeight="false" outlineLevel="0" collapsed="false">
      <c r="A32" s="13" t="str">
        <f aca="false">A19</f>
        <v>2.5億〜3.0億未満</v>
      </c>
      <c r="B32" s="11" t="n">
        <f aca="false">IF(B$23=0,"",B19/B$23)</f>
        <v>0</v>
      </c>
      <c r="C32" s="11" t="n">
        <f aca="false">IF(C$23=0,"",C19/C$23)</f>
        <v>0</v>
      </c>
      <c r="D32" s="11" t="n">
        <f aca="false">IF(D$23=0,"",D19/D$23)</f>
        <v>0</v>
      </c>
      <c r="E32" s="11" t="n">
        <f aca="false">IF(E$23=0,"",E19/E$23)</f>
        <v>0</v>
      </c>
      <c r="F32" s="11" t="n">
        <f aca="false">IF(F$23=0,"",F19/F$23)</f>
        <v>0.037037037037037</v>
      </c>
      <c r="G32" s="11" t="n">
        <f aca="false">IF(G$23=0,"",G19/G$23)</f>
        <v>0</v>
      </c>
      <c r="H32" s="11" t="n">
        <f aca="false">IF(H$23=0,"",H19/H$23)</f>
        <v>0.00746268656716418</v>
      </c>
    </row>
    <row r="33" customFormat="false" ht="15" hidden="false" customHeight="false" outlineLevel="0" collapsed="false">
      <c r="A33" s="13" t="str">
        <f aca="false">A20</f>
        <v>3.0億〜3.5億未満</v>
      </c>
      <c r="B33" s="11" t="n">
        <f aca="false">IF(B$23=0,"",B20/B$23)</f>
        <v>0</v>
      </c>
      <c r="C33" s="11" t="n">
        <f aca="false">IF(C$23=0,"",C20/C$23)</f>
        <v>0</v>
      </c>
      <c r="D33" s="11" t="n">
        <f aca="false">IF(D$23=0,"",D20/D$23)</f>
        <v>0</v>
      </c>
      <c r="E33" s="11" t="n">
        <f aca="false">IF(E$23=0,"",E20/E$23)</f>
        <v>0.0303030303030303</v>
      </c>
      <c r="F33" s="11" t="n">
        <f aca="false">IF(F$23=0,"",F20/F$23)</f>
        <v>0.037037037037037</v>
      </c>
      <c r="G33" s="11" t="n">
        <f aca="false">IF(G$23=0,"",G20/G$23)</f>
        <v>0</v>
      </c>
      <c r="H33" s="11" t="n">
        <f aca="false">IF(H$23=0,"",H20/H$23)</f>
        <v>0.0149253731343284</v>
      </c>
    </row>
    <row r="34" customFormat="false" ht="15" hidden="false" customHeight="false" outlineLevel="0" collapsed="false">
      <c r="A34" s="13" t="str">
        <f aca="false">A21</f>
        <v>3.5億〜4.0億未満</v>
      </c>
      <c r="B34" s="11" t="n">
        <f aca="false">IF(B$23=0,"",B21/B$23)</f>
        <v>0</v>
      </c>
      <c r="C34" s="11" t="n">
        <f aca="false">IF(C$23=0,"",C21/C$23)</f>
        <v>0</v>
      </c>
      <c r="D34" s="11" t="n">
        <f aca="false">IF(D$23=0,"",D21/D$23)</f>
        <v>0</v>
      </c>
      <c r="E34" s="11" t="n">
        <f aca="false">IF(E$23=0,"",E21/E$23)</f>
        <v>0</v>
      </c>
      <c r="F34" s="11" t="n">
        <f aca="false">IF(F$23=0,"",F21/F$23)</f>
        <v>0</v>
      </c>
      <c r="G34" s="11" t="n">
        <f aca="false">IF(G$23=0,"",G21/G$23)</f>
        <v>0</v>
      </c>
      <c r="H34" s="11" t="n">
        <f aca="false">IF(H$23=0,"",H21/H$23)</f>
        <v>0</v>
      </c>
    </row>
    <row r="35" customFormat="false" ht="15" hidden="false" customHeight="false" outlineLevel="0" collapsed="false">
      <c r="A35" s="13" t="str">
        <f aca="false">A22</f>
        <v>4.0億〜4.5億未満</v>
      </c>
      <c r="B35" s="11" t="n">
        <f aca="false">IF(B$23=0,"",B22/B$23)</f>
        <v>0</v>
      </c>
      <c r="C35" s="11" t="n">
        <f aca="false">IF(C$23=0,"",C22/C$23)</f>
        <v>0.03125</v>
      </c>
      <c r="D35" s="11" t="n">
        <f aca="false">IF(D$23=0,"",D22/D$23)</f>
        <v>0</v>
      </c>
      <c r="E35" s="11" t="n">
        <f aca="false">IF(E$23=0,"",E22/E$23)</f>
        <v>0</v>
      </c>
      <c r="F35" s="11" t="n">
        <f aca="false">IF(F$23=0,"",F22/F$23)</f>
        <v>0</v>
      </c>
      <c r="G35" s="11" t="n">
        <f aca="false">IF(G$23=0,"",G22/G$23)</f>
        <v>0</v>
      </c>
      <c r="H35" s="11" t="n">
        <f aca="false">IF(H$23=0,"",H22/H$23)</f>
        <v>0.00746268656716418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242</v>
      </c>
    </row>
    <row r="3" customFormat="false" ht="15" hidden="false" customHeight="false" outlineLevel="0" collapsed="false">
      <c r="A3" s="13" t="s">
        <v>243</v>
      </c>
      <c r="B3" s="22" t="n">
        <v>46294</v>
      </c>
      <c r="C3" s="12" t="s">
        <v>244</v>
      </c>
    </row>
    <row r="4" customFormat="false" ht="15" hidden="false" customHeight="false" outlineLevel="0" collapsed="false">
      <c r="A4" s="13" t="s">
        <v>13</v>
      </c>
      <c r="B4" s="23" t="s">
        <v>245</v>
      </c>
      <c r="C4" s="12" t="s">
        <v>246</v>
      </c>
    </row>
    <row r="5" customFormat="false" ht="15" hidden="false" customHeight="false" outlineLevel="0" collapsed="false">
      <c r="A5" s="13" t="s">
        <v>247</v>
      </c>
      <c r="B5" s="24" t="n">
        <v>50000000</v>
      </c>
    </row>
    <row r="7" customFormat="false" ht="15" hidden="false" customHeight="false" outlineLevel="0" collapsed="false">
      <c r="A7" s="4" t="s">
        <v>11</v>
      </c>
      <c r="B7" s="4" t="s">
        <v>248</v>
      </c>
      <c r="C7" s="4" t="s">
        <v>249</v>
      </c>
      <c r="D7" s="4" t="s">
        <v>250</v>
      </c>
    </row>
    <row r="8" customFormat="false" ht="15" hidden="false" customHeight="false" outlineLevel="0" collapsed="false">
      <c r="A8" s="25" t="s">
        <v>251</v>
      </c>
      <c r="B8" s="22" t="n">
        <v>44378</v>
      </c>
      <c r="C8" s="22" t="n">
        <v>44742</v>
      </c>
      <c r="D8" s="9"/>
    </row>
    <row r="9" customFormat="false" ht="15" hidden="false" customHeight="false" outlineLevel="0" collapsed="false">
      <c r="A9" s="25" t="s">
        <v>252</v>
      </c>
      <c r="B9" s="22" t="n">
        <v>44743</v>
      </c>
      <c r="C9" s="22" t="n">
        <v>45107</v>
      </c>
      <c r="D9" s="9"/>
    </row>
    <row r="10" customFormat="false" ht="15" hidden="false" customHeight="false" outlineLevel="0" collapsed="false">
      <c r="A10" s="25" t="s">
        <v>253</v>
      </c>
      <c r="B10" s="22" t="n">
        <v>45108</v>
      </c>
      <c r="C10" s="22" t="n">
        <v>45473</v>
      </c>
      <c r="D10" s="9"/>
    </row>
    <row r="11" customFormat="false" ht="15" hidden="false" customHeight="false" outlineLevel="0" collapsed="false">
      <c r="A11" s="25" t="s">
        <v>254</v>
      </c>
      <c r="B11" s="22" t="n">
        <v>45474</v>
      </c>
      <c r="C11" s="22" t="n">
        <v>45565</v>
      </c>
      <c r="D11" s="26" t="s">
        <v>255</v>
      </c>
    </row>
    <row r="12" customFormat="false" ht="15" hidden="false" customHeight="false" outlineLevel="0" collapsed="false">
      <c r="A12" s="25" t="s">
        <v>256</v>
      </c>
      <c r="B12" s="22" t="n">
        <v>45566</v>
      </c>
      <c r="C12" s="22" t="n">
        <v>45930</v>
      </c>
      <c r="D12" s="9"/>
    </row>
    <row r="13" customFormat="false" ht="15" hidden="false" customHeight="false" outlineLevel="0" collapsed="false">
      <c r="A13" s="25" t="s">
        <v>257</v>
      </c>
      <c r="B13" s="22" t="n">
        <v>45931</v>
      </c>
      <c r="C13" s="22" t="n">
        <v>46295</v>
      </c>
      <c r="D13" s="9"/>
    </row>
    <row r="14" customFormat="false" ht="15" hidden="false" customHeight="false" outlineLevel="0" collapsed="false">
      <c r="A14" s="25" t="s">
        <v>258</v>
      </c>
      <c r="B14" s="22" t="n">
        <v>46296</v>
      </c>
      <c r="C14" s="22" t="n">
        <v>46660</v>
      </c>
      <c r="D14" s="9"/>
    </row>
    <row r="15" customFormat="false" ht="15" hidden="false" customHeight="false" outlineLevel="0" collapsed="false">
      <c r="A15" s="25" t="s">
        <v>259</v>
      </c>
      <c r="B15" s="22" t="n">
        <v>46661</v>
      </c>
      <c r="C15" s="22" t="n">
        <v>47026</v>
      </c>
      <c r="D15" s="9"/>
    </row>
    <row r="17" customFormat="false" ht="15" hidden="false" customHeight="false" outlineLevel="0" collapsed="false">
      <c r="A17" s="17" t="s">
        <v>260</v>
      </c>
    </row>
    <row r="18" customFormat="false" ht="15" hidden="false" customHeight="false" outlineLevel="0" collapsed="false">
      <c r="A18" s="2" t="s">
        <v>261</v>
      </c>
    </row>
    <row r="19" customFormat="false" ht="15" hidden="false" customHeight="false" outlineLevel="0" collapsed="false">
      <c r="A19" s="2" t="s">
        <v>262</v>
      </c>
    </row>
    <row r="20" customFormat="false" ht="15" hidden="false" customHeight="false" outlineLevel="0" collapsed="false">
      <c r="A20" s="2" t="s">
        <v>263</v>
      </c>
    </row>
    <row r="21" customFormat="false" ht="15" hidden="false" customHeight="false" outlineLevel="0" collapsed="false">
      <c r="A21" s="2" t="s">
        <v>264</v>
      </c>
    </row>
    <row r="22" customFormat="false" ht="15" hidden="false" customHeight="false" outlineLevel="0" collapsed="false">
      <c r="A22" s="2" t="s">
        <v>265</v>
      </c>
    </row>
    <row r="23" customFormat="false" ht="15" hidden="false" customHeight="false" outlineLevel="0" collapsed="false">
      <c r="A23" s="2" t="s">
        <v>266</v>
      </c>
    </row>
  </sheetData>
  <dataValidations count="1">
    <dataValidation allowBlank="false" errorStyle="stop" operator="between" showDropDown="false" showErrorMessage="false" showInputMessage="false" sqref="B4" type="list">
      <formula1>"全て,実績のみ"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2026-09-29T16:35:38Z</dcterms:created>
  <dc:creator>openpyxl</dc:creator>
  <dc:description/>
  <dc:language>en-US</dc:language>
  <cp:lastModifiedBy/>
  <dcterms:modified xsi:type="dcterms:W3CDTF">2026-09-29T16:35:40Z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